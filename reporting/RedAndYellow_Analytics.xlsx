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Campaign Performance" sheetId="2" r:id="rId2"/>
    <sheet name="Programme Demand" sheetId="3" r:id="rId3"/>
    <sheet name="Student Risk" sheetId="4" r:id="rId4"/>
    <sheet name="Data Quality" sheetId="5" r:id="rId5"/>
    <sheet name="Catalogue" sheetId="6" r:id="rId6"/>
    <sheet name="Method &amp; Caveats" sheetId="7" r:id="rId7"/>
  </sheets>
  <calcPr calcId="124519" fullCalcOnLoad="1"/>
</workbook>
</file>

<file path=xl/sharedStrings.xml><?xml version="1.0" encoding="utf-8"?>
<sst xmlns="http://schemas.openxmlformats.org/spreadsheetml/2006/main" count="775" uniqueCount="234">
  <si>
    <t>Red &amp; Yellow</t>
  </si>
  <si>
    <t>CRM &amp; Academic Analytics - marketing spend through to student outcomes</t>
  </si>
  <si>
    <t>Generated 09 September 2026 from the dbt warehouse. Catalogue is real; all people and campaigns are synthetic.</t>
  </si>
  <si>
    <t>1,500,000</t>
  </si>
  <si>
    <t>Leads - captured across 4 years</t>
  </si>
  <si>
    <t>1,110,674</t>
  </si>
  <si>
    <t>Contacts - after de-duplication</t>
  </si>
  <si>
    <t>706,010</t>
  </si>
  <si>
    <t>Opportunities - admissions pipeline</t>
  </si>
  <si>
    <t>168,157</t>
  </si>
  <si>
    <t>Enrolments - converted to study</t>
  </si>
  <si>
    <t>R472m</t>
  </si>
  <si>
    <t>Marketing spend - all campaigns</t>
  </si>
  <si>
    <t>R1,303m</t>
  </si>
  <si>
    <t>Enrolled revenue - agreed fees</t>
  </si>
  <si>
    <t>Conversion through the funnel</t>
  </si>
  <si>
    <t>stage</t>
  </si>
  <si>
    <t>records</t>
  </si>
  <si>
    <t>Leads</t>
  </si>
  <si>
    <t>Contacts</t>
  </si>
  <si>
    <t>Opportunities</t>
  </si>
  <si>
    <t>Applications</t>
  </si>
  <si>
    <t>Enrolments</t>
  </si>
  <si>
    <t>Read the funnel as stages, not as a single cohort. Leads and contacts overlap - a converted lead becomes a contact - so the drop between them is not attrition. Opportunity-to-enrolment is the honest conversion rate.</t>
  </si>
  <si>
    <t>Campaign performance by channel</t>
  </si>
  <si>
    <t>Spend is aggregated at campaign grain before joining to enrolments, so a campaign's cost is never multiplied by its downstream row count.</t>
  </si>
  <si>
    <t>channel</t>
  </si>
  <si>
    <t>campaigns</t>
  </si>
  <si>
    <t>members</t>
  </si>
  <si>
    <t>opportunities</t>
  </si>
  <si>
    <t>enrolments</t>
  </si>
  <si>
    <t>spend zar</t>
  </si>
  <si>
    <t>revenue zar</t>
  </si>
  <si>
    <t>cost per enrolment</t>
  </si>
  <si>
    <t>roas</t>
  </si>
  <si>
    <t>Career expo</t>
  </si>
  <si>
    <t>Radio</t>
  </si>
  <si>
    <t>Referral</t>
  </si>
  <si>
    <t>Organic search</t>
  </si>
  <si>
    <t>Google Ads</t>
  </si>
  <si>
    <t>Email</t>
  </si>
  <si>
    <t>Billboard</t>
  </si>
  <si>
    <t>Open day</t>
  </si>
  <si>
    <t>Paid social</t>
  </si>
  <si>
    <t>Print</t>
  </si>
  <si>
    <t>Webinar</t>
  </si>
  <si>
    <t>Programme demand</t>
  </si>
  <si>
    <t>Against the 83 real programmes and 89 real offerings transcribed from the Red &amp; Yellow catalogue.</t>
  </si>
  <si>
    <t>programme title</t>
  </si>
  <si>
    <t>category</t>
  </si>
  <si>
    <t>delivery mode</t>
  </si>
  <si>
    <t>advertised fee zar</t>
  </si>
  <si>
    <t>avg discount pct</t>
  </si>
  <si>
    <t>Copywriting</t>
  </si>
  <si>
    <t>Short course</t>
  </si>
  <si>
    <t>Unconfirmed</t>
  </si>
  <si>
    <t>Graphic Design Intermediate with Adobe Photoshop</t>
  </si>
  <si>
    <t>Graphic Design Beginner</t>
  </si>
  <si>
    <t>Project Management</t>
  </si>
  <si>
    <t>Management Development Programme: Agency Leadership</t>
  </si>
  <si>
    <t>Executive education</t>
  </si>
  <si>
    <t>Higher Certificate in Marketing and Branding</t>
  </si>
  <si>
    <t>Certificate</t>
  </si>
  <si>
    <t>On-campus</t>
  </si>
  <si>
    <t>Part-Time Postgraduate Diploma in Management</t>
  </si>
  <si>
    <t>Postgraduate programme</t>
  </si>
  <si>
    <t>People Management</t>
  </si>
  <si>
    <t>Data Analysis</t>
  </si>
  <si>
    <t>AI &amp; Executive Judgement</t>
  </si>
  <si>
    <t>Data Visualisation for Designers</t>
  </si>
  <si>
    <t>Customer Experience</t>
  </si>
  <si>
    <t>Sales &amp; Account Management</t>
  </si>
  <si>
    <t>Brand as Capital</t>
  </si>
  <si>
    <t>Desktop Publishing with InDesign</t>
  </si>
  <si>
    <t>Postgraduate Diploma in Digital Marketing</t>
  </si>
  <si>
    <t>Marketing Strategy</t>
  </si>
  <si>
    <t>Higher Certificate in Business Management</t>
  </si>
  <si>
    <t>Rebel Leadership</t>
  </si>
  <si>
    <t>Part-Time Higher Certificate in Marketing and Branding</t>
  </si>
  <si>
    <t>Part-Time Postgraduate Diploma in Digital Marketing</t>
  </si>
  <si>
    <t>Sports Sponsorship Marketing</t>
  </si>
  <si>
    <t>Digital Content &amp; Copywriting</t>
  </si>
  <si>
    <t>Media Planning</t>
  </si>
  <si>
    <t>Business Analysis</t>
  </si>
  <si>
    <t>Higher Occupational Certificate: Advertiser, Specialising in Digital Marketing</t>
  </si>
  <si>
    <t>Part-Time Higher Certificate in Graphic Design</t>
  </si>
  <si>
    <t>Digital Marketing Professional</t>
  </si>
  <si>
    <t>Offerings priced 'Enquire' carry a blank advertised fee. That blank is the catalogue's real state, not a gap in the data - it is never substituted with zero, which would understate average price.</t>
  </si>
  <si>
    <t>Student success and early warning</t>
  </si>
  <si>
    <t>At risk = attendance under 55%, or assessment average under 50%, or three or more overdue assignments.</t>
  </si>
  <si>
    <t>week number</t>
  </si>
  <si>
    <t>students tracked</t>
  </si>
  <si>
    <t>at risk</t>
  </si>
  <si>
    <t>at risk pct</t>
  </si>
  <si>
    <t>avg attendance pct</t>
  </si>
  <si>
    <t>avg assessment pct</t>
  </si>
  <si>
    <t>Data quality</t>
  </si>
  <si>
    <t>Defects were injected into the source data on purpose and recorded in a ground-truth manifest. These counts are what the pipeline caught, measured against what was planted.</t>
  </si>
  <si>
    <t>entity</t>
  </si>
  <si>
    <t>issue code</t>
  </si>
  <si>
    <t>issue description</t>
  </si>
  <si>
    <t>issue count</t>
  </si>
  <si>
    <t>contact</t>
  </si>
  <si>
    <t>phone_unparseable</t>
  </si>
  <si>
    <t>Phone could not be normalised to E.164</t>
  </si>
  <si>
    <t>province_unknown</t>
  </si>
  <si>
    <t>Province did not map to an official name</t>
  </si>
  <si>
    <t>student_progress</t>
  </si>
  <si>
    <t>attendance_missing</t>
  </si>
  <si>
    <t>Attendance not recorded</t>
  </si>
  <si>
    <t>campaign_member</t>
  </si>
  <si>
    <t>duplicate_membership</t>
  </si>
  <si>
    <t>Same member on the same campaign more than once</t>
  </si>
  <si>
    <t>lead</t>
  </si>
  <si>
    <t>late_arriving</t>
  </si>
  <si>
    <t>source_updated_at after loaded_at</t>
  </si>
  <si>
    <t>duplicate_person</t>
  </si>
  <si>
    <t>Duplicate human on person_key</t>
  </si>
  <si>
    <t>email_invalid</t>
  </si>
  <si>
    <t>Email failed format validation</t>
  </si>
  <si>
    <t>enrolment</t>
  </si>
  <si>
    <t>fee_missing</t>
  </si>
  <si>
    <t>Agreed fee is null although the offering has an advertised price</t>
  </si>
  <si>
    <t>application</t>
  </si>
  <si>
    <t>date_inversion</t>
  </si>
  <si>
    <t>Decision date precedes submission</t>
  </si>
  <si>
    <t>opportunity</t>
  </si>
  <si>
    <t>negative_value</t>
  </si>
  <si>
    <t>Expected value was negative</t>
  </si>
  <si>
    <t>campaign</t>
  </si>
  <si>
    <t>injected defect</t>
  </si>
  <si>
    <t>dup_campaign_member</t>
  </si>
  <si>
    <t>email_case</t>
  </si>
  <si>
    <t>email_malformed</t>
  </si>
  <si>
    <t>email_missing</t>
  </si>
  <si>
    <t>email_whitespace</t>
  </si>
  <si>
    <t>name_case</t>
  </si>
  <si>
    <t>name_whitespace</t>
  </si>
  <si>
    <t>negative_fee</t>
  </si>
  <si>
    <t>orphan_fk</t>
  </si>
  <si>
    <t>phone_format_drift</t>
  </si>
  <si>
    <t>phone_missing</t>
  </si>
  <si>
    <t>province_missing</t>
  </si>
  <si>
    <t>province_variant</t>
  </si>
  <si>
    <t>Programme catalogue (real)</t>
  </si>
  <si>
    <t>83 programme identities, 89 offerings, 47 dated intakes, transcribed from 17 screenshots of the public site on 8 September 2026.</t>
  </si>
  <si>
    <t>study pace</t>
  </si>
  <si>
    <t>duration value</t>
  </si>
  <si>
    <t>duration unit</t>
  </si>
  <si>
    <t>price status</t>
  </si>
  <si>
    <t>dated intake count</t>
  </si>
  <si>
    <t>ACA Graduate Programme for Agencies</t>
  </si>
  <si>
    <t>Qualification</t>
  </si>
  <si>
    <t>Not stated</t>
  </si>
  <si>
    <t>Years</t>
  </si>
  <si>
    <t>Enquire</t>
  </si>
  <si>
    <t>Weeks</t>
  </si>
  <si>
    <t>Published</t>
  </si>
  <si>
    <t>AI for Copywriting</t>
  </si>
  <si>
    <t>Micro course</t>
  </si>
  <si>
    <t>AI for Design Thinking</t>
  </si>
  <si>
    <t>AI for Educators</t>
  </si>
  <si>
    <t>AI for Graphic Designers</t>
  </si>
  <si>
    <t>AI for HR</t>
  </si>
  <si>
    <t>AI for Management Insights</t>
  </si>
  <si>
    <t>AI for User Experience</t>
  </si>
  <si>
    <t>Account Leadership</t>
  </si>
  <si>
    <t>Advanced Diploma in Copywriting</t>
  </si>
  <si>
    <t>Advanced diploma</t>
  </si>
  <si>
    <t>Advanced Diploma in Marketing &amp; Advertising Communications</t>
  </si>
  <si>
    <t>Advanced Diploma in User Centered Design</t>
  </si>
  <si>
    <t>B2B Marketing</t>
  </si>
  <si>
    <t>Bachelor of Arts Honours in Visual Communication Design</t>
  </si>
  <si>
    <t>Not shown</t>
  </si>
  <si>
    <t>Bachelor of Arts in Visual Communication</t>
  </si>
  <si>
    <t>Degree</t>
  </si>
  <si>
    <t>Bachelor of Business Administration in Marketing and Brand Management</t>
  </si>
  <si>
    <t>Bachelor of Business Administration: Marketing and Brand Management</t>
  </si>
  <si>
    <t>Bachelor of Commerce in Marketing</t>
  </si>
  <si>
    <t>Creative Thinking</t>
  </si>
  <si>
    <t>Customer Service Course</t>
  </si>
  <si>
    <t>Data Analysis for Marketers</t>
  </si>
  <si>
    <t>Design Thinking</t>
  </si>
  <si>
    <t>Design Thinking Practitioner</t>
  </si>
  <si>
    <t>Digital Marketing</t>
  </si>
  <si>
    <t>Front-End Web Development</t>
  </si>
  <si>
    <t>Generative AI for Business</t>
  </si>
  <si>
    <t>Higher Certificate in Creating Digital Content</t>
  </si>
  <si>
    <t>Higher Certificate in Graphic Design</t>
  </si>
  <si>
    <t>Instructional Design</t>
  </si>
  <si>
    <t>Interior Decorating</t>
  </si>
  <si>
    <t>Months</t>
  </si>
  <si>
    <t>MarTech &amp; CRM Strategy</t>
  </si>
  <si>
    <t>Mentorship</t>
  </si>
  <si>
    <t>Operational Finance</t>
  </si>
  <si>
    <t>Part-Time Advanced Diploma in Copywriting</t>
  </si>
  <si>
    <t>Part-time</t>
  </si>
  <si>
    <t>Part-Time Advanced Diploma in Digital Marketing</t>
  </si>
  <si>
    <t>Part-Time Advanced Diploma in Marketing &amp; Advertising Communications</t>
  </si>
  <si>
    <t>Part-Time Advanced Diploma in User Centered Design</t>
  </si>
  <si>
    <t>Part-Time Higher Certificate in Business Management</t>
  </si>
  <si>
    <t>Performance Marketing</t>
  </si>
  <si>
    <t>Postgraduate Diploma in Management</t>
  </si>
  <si>
    <t>Postgraduate Diploma: Creative Leadership</t>
  </si>
  <si>
    <t>Project Manager</t>
  </si>
  <si>
    <t>Prompt Engineering</t>
  </si>
  <si>
    <t>Public Relations</t>
  </si>
  <si>
    <t>Responsible Advertising and the Advertising Regulatory Board</t>
  </si>
  <si>
    <t>Responsible Influencer Marketing</t>
  </si>
  <si>
    <t>Hours</t>
  </si>
  <si>
    <t>Search Engine Optimisation</t>
  </si>
  <si>
    <t>Shopper Marketing</t>
  </si>
  <si>
    <t>Social Media Marketing</t>
  </si>
  <si>
    <t>Storytelling for Impact &amp; Influence</t>
  </si>
  <si>
    <t>Strategic Foresight for Leaders</t>
  </si>
  <si>
    <t>Sustainable Marketing</t>
  </si>
  <si>
    <t>User Experience Design</t>
  </si>
  <si>
    <t>Website Design</t>
  </si>
  <si>
    <t>Work Readiness</t>
  </si>
  <si>
    <t>Method and caveats</t>
  </si>
  <si>
    <t>What is real</t>
  </si>
  <si>
    <t>The programme catalogue: 83 programmes, 89 offerings, 47 dated intakes and their advertised fees, transcribed from the public Red &amp; Yellow site. Nothing here is an export from Red &amp; Yellow's own systems.</t>
  </si>
  <si>
    <t>What is synthetic</t>
  </si>
  <si>
    <t>Every person, campaign, application, enrolment and progress record. Names are drawn from a South African distribution and all email addresses resolve to example-style consumer domains. No real individual is represented.</t>
  </si>
  <si>
    <t>Why the data is dirty</t>
  </si>
  <si>
    <t>Defects are injected deliberately at known rates - duplicate humans, phone-format drift, invalid emails, province spelling variants, inverted dates, late-arriving records - and recorded in a manifest so the pipeline's detection can be measured rather than asserted.</t>
  </si>
  <si>
    <t>Blanks that are not gaps</t>
  </si>
  <si>
    <t>Offerings priced 'Enquire for price' carry a null fee and a price status of Enquire. Clipped or unseen values in the source screenshots stay blank. Neither is ever filled with zero.</t>
  </si>
  <si>
    <t>Spend attribution</t>
  </si>
  <si>
    <t>Campaign spend is aggregated at campaign grain before it meets enrolment rows. Joining spend to a fact table first would multiply each campaign's cost by its downstream row count.</t>
  </si>
  <si>
    <t>Salesforce scope</t>
  </si>
  <si>
    <t>The CRM holds a referentially complete slice of a few thousand records, not the full warehouse. Salesforce charges storage per record and a Developer org holds roughly ten thousand records in total; volume belongs in the warehouse, which is where this design puts it.</t>
  </si>
  <si>
    <t>Lineage</t>
  </si>
  <si>
    <t>Sources land in a raw layer, are cleansed once in staging, and are consumed by marts that assume clean inputs. Every integrated record carries its source system, source id, source update time, load time and deletion flag.</t>
  </si>
</sst>
</file>

<file path=xl/styles.xml><?xml version="1.0" encoding="utf-8"?>
<styleSheet xmlns="http://schemas.openxmlformats.org/spreadsheetml/2006/main">
  <numFmts count="3">
    <numFmt numFmtId="164" formatCode="#,##0"/>
    <numFmt numFmtId="165" formatCode="R #,##0"/>
    <numFmt numFmtId="166" formatCode="0.00"/>
  </numFmts>
  <fonts count="9">
    <font>
      <sz val="11"/>
      <color theme="1"/>
      <name val="Calibri"/>
      <family val="2"/>
      <scheme val="minor"/>
    </font>
    <font>
      <b/>
      <sz val="22"/>
      <color rgb="FF22252A"/>
      <name val="Calibri"/>
      <family val="2"/>
      <scheme val="minor"/>
    </font>
    <font>
      <sz val="11"/>
      <color rgb="FF5A6472"/>
      <name val="Calibri"/>
      <family val="2"/>
      <scheme val="minor"/>
    </font>
    <font>
      <b/>
      <sz val="26"/>
      <color rgb="FFE03127"/>
      <name val="Calibri"/>
      <family val="2"/>
      <scheme val="minor"/>
    </font>
    <font>
      <sz val="10"/>
      <color rgb="FF5A6472"/>
      <name val="Calibri"/>
      <family val="2"/>
      <scheme val="minor"/>
    </font>
    <font>
      <b/>
      <sz val="13"/>
      <color rgb="FF22252A"/>
      <name val="Calibri"/>
      <family val="2"/>
      <scheme val="minor"/>
    </font>
    <font>
      <b/>
      <sz val="11"/>
      <color rgb="FFFFFFFF"/>
      <name val="Calibri"/>
      <family val="2"/>
      <scheme val="minor"/>
    </font>
    <font>
      <i/>
      <sz val="10"/>
      <color rgb="FF5A6472"/>
      <name val="Calibri"/>
      <family val="2"/>
      <scheme val="minor"/>
    </font>
    <font>
      <sz val="10"/>
      <color rgb="FF22252A"/>
      <name val="Calibri"/>
      <family val="2"/>
      <scheme val="minor"/>
    </font>
  </fonts>
  <fills count="4">
    <fill>
      <patternFill patternType="none"/>
    </fill>
    <fill>
      <patternFill patternType="gray125"/>
    </fill>
    <fill>
      <patternFill patternType="solid">
        <fgColor rgb="FF22252A"/>
        <bgColor indexed="64"/>
      </patternFill>
    </fill>
    <fill>
      <patternFill patternType="solid">
        <fgColor rgb="FFFFF6D6"/>
        <bgColor indexed="64"/>
      </patternFill>
    </fill>
  </fills>
  <borders count="5">
    <border>
      <left/>
      <right/>
      <top/>
      <bottom/>
      <diagonal/>
    </border>
    <border>
      <left/>
      <right/>
      <top/>
      <bottom style="thin">
        <color rgb="FFD8DDE4"/>
      </bottom>
      <diagonal/>
    </border>
    <border>
      <left style="thin">
        <color rgb="FF22252A"/>
      </left>
      <right style="thin">
        <color rgb="FF22252A"/>
      </right>
      <top style="thin">
        <color rgb="FF22252A"/>
      </top>
      <bottom style="thin">
        <color rgb="FF22252A"/>
      </bottom>
      <diagonal/>
    </border>
    <border>
      <left style="thin">
        <color rgb="FFD8DDE4"/>
      </left>
      <right style="thin">
        <color rgb="FFD8DDE4"/>
      </right>
      <top style="thin">
        <color rgb="FFD8DDE4"/>
      </top>
      <bottom style="thin">
        <color rgb="FFD8DDE4"/>
      </bottom>
      <diagonal/>
    </border>
    <border>
      <left style="thin">
        <color rgb="FFFFC629"/>
      </left>
      <right style="thin">
        <color rgb="FFFFC629"/>
      </right>
      <top style="thin">
        <color rgb="FFFFC629"/>
      </top>
      <bottom style="thin">
        <color rgb="FFFFC62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applyAlignment="1">
      <alignment horizontal="center" vertical="center"/>
    </xf>
    <xf numFmtId="0" fontId="4" fillId="0" borderId="0" xfId="0" applyFont="1" applyAlignment="1">
      <alignment horizontal="center" vertical="top" wrapText="1"/>
    </xf>
    <xf numFmtId="0" fontId="5" fillId="0" borderId="1" xfId="0" applyFont="1" applyBorder="1"/>
    <xf numFmtId="0" fontId="6" fillId="2" borderId="2" xfId="0" applyFont="1" applyFill="1" applyBorder="1" applyAlignment="1">
      <alignment horizontal="left" vertical="center" wrapText="1"/>
    </xf>
    <xf numFmtId="0" fontId="0" fillId="0" borderId="3" xfId="0" applyBorder="1"/>
    <xf numFmtId="164" fontId="0" fillId="0" borderId="3" xfId="0" applyNumberFormat="1" applyBorder="1"/>
    <xf numFmtId="0" fontId="7" fillId="0" borderId="0" xfId="0" applyFont="1" applyAlignment="1">
      <alignment vertical="top" wrapText="1"/>
    </xf>
    <xf numFmtId="165" fontId="0" fillId="0" borderId="3" xfId="0" applyNumberFormat="1" applyBorder="1"/>
    <xf numFmtId="166" fontId="0" fillId="0" borderId="3" xfId="0" applyNumberFormat="1" applyBorder="1"/>
    <xf numFmtId="0" fontId="8" fillId="3" borderId="4" xfId="0" applyFont="1" applyFill="1" applyBorder="1" applyAlignment="1">
      <alignment vertical="top" wrapText="1"/>
    </xf>
  </cellXfs>
  <cellStyles count="1">
    <cellStyle name="Normal" xfId="0" builtinId="0"/>
  </cellStyles>
  <dxfs count="1">
    <dxf>
      <fill>
        <patternFill>
          <bgColor rgb="FFFBFBFC"/>
        </patternFill>
      </fill>
      <border>
        <left style="thin">
          <color rgb="FFD8DDE4"/>
        </left>
        <right style="thin">
          <color rgb="FFD8DDE4"/>
        </right>
        <top style="thin">
          <color rgb="FFD8DDE4"/>
        </top>
        <bottom style="thin">
          <color rgb="FFD8DDE4"/>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Marketing to enrolment</a:t>
            </a:r>
          </a:p>
        </c:rich>
      </c:tx>
      <c:layout/>
    </c:title>
    <c:plotArea>
      <c:layout/>
      <c:barChart>
        <c:barDir val="bar"/>
        <c:grouping val="clustered"/>
        <c:ser>
          <c:idx val="0"/>
          <c:order val="0"/>
          <c:tx>
            <c:v>Records</c:v>
          </c:tx>
          <c:spPr>
            <a:solidFill>
              <a:srgbClr val="E03127"/>
            </a:solidFill>
          </c:spPr>
          <c:cat>
            <c:strRef>
              <c:f>'Executive Summary'!$B$18:$B$22</c:f>
              <c:strCache>
                <c:ptCount val="5"/>
                <c:pt idx="0">
                  <c:v>Leads</c:v>
                </c:pt>
                <c:pt idx="1">
                  <c:v>Contacts</c:v>
                </c:pt>
                <c:pt idx="2">
                  <c:v>Opportunities</c:v>
                </c:pt>
                <c:pt idx="3">
                  <c:v>Applications</c:v>
                </c:pt>
                <c:pt idx="4">
                  <c:v>Enrolments</c:v>
                </c:pt>
              </c:strCache>
            </c:strRef>
          </c:cat>
          <c:val>
            <c:numRef>
              <c:f>'Executive Summary'!$C$18:$C$22</c:f>
              <c:numCache>
                <c:formatCode>General</c:formatCode>
                <c:ptCount val="5"/>
                <c:pt idx="0">
                  <c:v>1500000</c:v>
                </c:pt>
                <c:pt idx="1">
                  <c:v>1110674</c:v>
                </c:pt>
                <c:pt idx="2">
                  <c:v>706010</c:v>
                </c:pt>
                <c:pt idx="3">
                  <c:v>494352</c:v>
                </c:pt>
                <c:pt idx="4">
                  <c:v>168157</c:v>
                </c:pt>
              </c:numCache>
            </c:numRef>
          </c:val>
        </c:ser>
        <c:gapWidth val="45"/>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Cost per enrolment by channel</a:t>
            </a:r>
          </a:p>
        </c:rich>
      </c:tx>
      <c:layout/>
    </c:title>
    <c:plotArea>
      <c:layout/>
      <c:barChart>
        <c:barDir val="col"/>
        <c:grouping val="clustered"/>
        <c:ser>
          <c:idx val="0"/>
          <c:order val="0"/>
          <c:tx>
            <c:v>Cost per enrolment (R)</c:v>
          </c:tx>
          <c:spPr>
            <a:solidFill>
              <a:srgbClr val="2E6E8E"/>
            </a:solidFill>
          </c:spPr>
          <c:cat>
            <c:strRef>
              <c:f>'Campaign Performance'!$B$7:$B$17</c:f>
              <c:strCache>
                <c:ptCount val="11"/>
                <c:pt idx="0">
                  <c:v>Career expo</c:v>
                </c:pt>
                <c:pt idx="1">
                  <c:v>Radio</c:v>
                </c:pt>
                <c:pt idx="2">
                  <c:v>Referral</c:v>
                </c:pt>
                <c:pt idx="3">
                  <c:v>Organic search</c:v>
                </c:pt>
                <c:pt idx="4">
                  <c:v>Google Ads</c:v>
                </c:pt>
                <c:pt idx="5">
                  <c:v>Email</c:v>
                </c:pt>
                <c:pt idx="6">
                  <c:v>Billboard</c:v>
                </c:pt>
                <c:pt idx="7">
                  <c:v>Open day</c:v>
                </c:pt>
                <c:pt idx="8">
                  <c:v>Paid social</c:v>
                </c:pt>
                <c:pt idx="9">
                  <c:v>Print</c:v>
                </c:pt>
                <c:pt idx="10">
                  <c:v>Webinar</c:v>
                </c:pt>
              </c:strCache>
            </c:strRef>
          </c:cat>
          <c:val>
            <c:numRef>
              <c:f>'Campaign Performance'!$I$7:$I$17</c:f>
              <c:numCache>
                <c:formatCode>General</c:formatCode>
                <c:ptCount val="11"/>
                <c:pt idx="0">
                  <c:v>3399</c:v>
                </c:pt>
                <c:pt idx="1">
                  <c:v>3634</c:v>
                </c:pt>
                <c:pt idx="2">
                  <c:v>3865</c:v>
                </c:pt>
                <c:pt idx="3">
                  <c:v>3991</c:v>
                </c:pt>
                <c:pt idx="4">
                  <c:v>4199</c:v>
                </c:pt>
                <c:pt idx="5">
                  <c:v>4206</c:v>
                </c:pt>
                <c:pt idx="6">
                  <c:v>4278</c:v>
                </c:pt>
                <c:pt idx="7">
                  <c:v>4475</c:v>
                </c:pt>
                <c:pt idx="8">
                  <c:v>4552</c:v>
                </c:pt>
                <c:pt idx="9">
                  <c:v>5129</c:v>
                </c:pt>
                <c:pt idx="10">
                  <c:v>4984</c:v>
                </c:pt>
              </c:numCache>
            </c:numRef>
          </c:val>
        </c:ser>
        <c:gapWidth val="40"/>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R #,##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Return on ad spend by channel</a:t>
            </a:r>
          </a:p>
        </c:rich>
      </c:tx>
      <c:layout/>
    </c:title>
    <c:plotArea>
      <c:layout/>
      <c:barChart>
        <c:barDir val="col"/>
        <c:grouping val="clustered"/>
        <c:ser>
          <c:idx val="0"/>
          <c:order val="0"/>
          <c:tx>
            <c:v>Return on ad spend</c:v>
          </c:tx>
          <c:spPr>
            <a:solidFill>
              <a:srgbClr val="4C9F70"/>
            </a:solidFill>
          </c:spPr>
          <c:cat>
            <c:strRef>
              <c:f>'Campaign Performance'!$B$7:$B$17</c:f>
              <c:strCache>
                <c:ptCount val="11"/>
                <c:pt idx="0">
                  <c:v>Career expo</c:v>
                </c:pt>
                <c:pt idx="1">
                  <c:v>Radio</c:v>
                </c:pt>
                <c:pt idx="2">
                  <c:v>Referral</c:v>
                </c:pt>
                <c:pt idx="3">
                  <c:v>Organic search</c:v>
                </c:pt>
                <c:pt idx="4">
                  <c:v>Google Ads</c:v>
                </c:pt>
                <c:pt idx="5">
                  <c:v>Email</c:v>
                </c:pt>
                <c:pt idx="6">
                  <c:v>Billboard</c:v>
                </c:pt>
                <c:pt idx="7">
                  <c:v>Open day</c:v>
                </c:pt>
                <c:pt idx="8">
                  <c:v>Paid social</c:v>
                </c:pt>
                <c:pt idx="9">
                  <c:v>Print</c:v>
                </c:pt>
                <c:pt idx="10">
                  <c:v>Webinar</c:v>
                </c:pt>
              </c:strCache>
            </c:strRef>
          </c:cat>
          <c:val>
            <c:numRef>
              <c:f>'Campaign Performance'!$J$7:$J$17</c:f>
              <c:numCache>
                <c:formatCode>General</c:formatCode>
                <c:ptCount val="11"/>
                <c:pt idx="0">
                  <c:v>2.29</c:v>
                </c:pt>
                <c:pt idx="1">
                  <c:v>2.13</c:v>
                </c:pt>
                <c:pt idx="2">
                  <c:v>2.02</c:v>
                </c:pt>
                <c:pt idx="3">
                  <c:v>1.93</c:v>
                </c:pt>
                <c:pt idx="4">
                  <c:v>1.85</c:v>
                </c:pt>
                <c:pt idx="5">
                  <c:v>1.83</c:v>
                </c:pt>
                <c:pt idx="6">
                  <c:v>1.77</c:v>
                </c:pt>
                <c:pt idx="7">
                  <c:v>1.75</c:v>
                </c:pt>
                <c:pt idx="8">
                  <c:v>1.69</c:v>
                </c:pt>
                <c:pt idx="9">
                  <c:v>1.56</c:v>
                </c:pt>
                <c:pt idx="10">
                  <c:v>1.55</c:v>
                </c:pt>
              </c:numCache>
            </c:numRef>
          </c:val>
        </c:ser>
        <c:gapWidth val="40"/>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Academic health over the study weeks</a:t>
            </a:r>
          </a:p>
        </c:rich>
      </c:tx>
      <c:layout/>
    </c:title>
    <c:plotArea>
      <c:layout/>
      <c:lineChart>
        <c:grouping val="standard"/>
        <c:ser>
          <c:idx val="0"/>
          <c:order val="0"/>
          <c:tx>
            <c:v>Avg attendance %</c:v>
          </c:tx>
          <c:spPr>
            <a:ln w="28575">
              <a:solidFill>
                <a:srgbClr val="E03127"/>
              </a:solidFill>
            </a:ln>
          </c:spPr>
          <c:marker>
            <c:symbol val="none"/>
          </c:marker>
          <c:cat>
            <c:numRef>
              <c:f>'Student Risk'!$B$7:$B$25</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'Student Risk'!$F$7:$F$25</c:f>
              <c:numCache>
                <c:formatCode>General</c:formatCode>
                <c:ptCount val="19"/>
                <c:pt idx="0">
                  <c:v>83.09999999999999</c:v>
                </c:pt>
                <c:pt idx="1">
                  <c:v>82.3</c:v>
                </c:pt>
                <c:pt idx="2">
                  <c:v>81.5</c:v>
                </c:pt>
                <c:pt idx="3">
                  <c:v>80.8</c:v>
                </c:pt>
                <c:pt idx="4">
                  <c:v>79.8</c:v>
                </c:pt>
                <c:pt idx="5">
                  <c:v>79.09999999999999</c:v>
                </c:pt>
                <c:pt idx="6">
                  <c:v>78.2</c:v>
                </c:pt>
                <c:pt idx="7">
                  <c:v>77.3</c:v>
                </c:pt>
                <c:pt idx="8">
                  <c:v>76.5</c:v>
                </c:pt>
                <c:pt idx="9">
                  <c:v>75.59999999999999</c:v>
                </c:pt>
                <c:pt idx="10">
                  <c:v>74.8</c:v>
                </c:pt>
                <c:pt idx="11">
                  <c:v>73.90000000000001</c:v>
                </c:pt>
                <c:pt idx="12">
                  <c:v>73</c:v>
                </c:pt>
                <c:pt idx="13">
                  <c:v>72.2</c:v>
                </c:pt>
                <c:pt idx="14">
                  <c:v>71.2</c:v>
                </c:pt>
                <c:pt idx="15">
                  <c:v>70.40000000000001</c:v>
                </c:pt>
                <c:pt idx="16">
                  <c:v>69.7</c:v>
                </c:pt>
                <c:pt idx="17">
                  <c:v>68.59999999999999</c:v>
                </c:pt>
                <c:pt idx="18">
                  <c:v>67.7</c:v>
                </c:pt>
              </c:numCache>
            </c:numRef>
          </c:val>
        </c:ser>
        <c:ser>
          <c:idx val="1"/>
          <c:order val="1"/>
          <c:tx>
            <c:v>Avg assessment %</c:v>
          </c:tx>
          <c:spPr>
            <a:ln w="28575">
              <a:solidFill>
                <a:srgbClr val="F0A202"/>
              </a:solidFill>
            </a:ln>
          </c:spPr>
          <c:marker>
            <c:symbol val="none"/>
          </c:marker>
          <c:cat>
            <c:numRef>
              <c:f>'Student Risk'!$B$7:$B$25</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'Student Risk'!$G$7:$G$25</c:f>
              <c:numCache>
                <c:formatCode>General</c:formatCode>
                <c:ptCount val="19"/>
                <c:pt idx="0">
                  <c:v>73.3</c:v>
                </c:pt>
                <c:pt idx="1">
                  <c:v>72.8</c:v>
                </c:pt>
                <c:pt idx="2">
                  <c:v>72.3</c:v>
                </c:pt>
                <c:pt idx="3">
                  <c:v>71.90000000000001</c:v>
                </c:pt>
                <c:pt idx="4">
                  <c:v>71.40000000000001</c:v>
                </c:pt>
                <c:pt idx="5">
                  <c:v>70.90000000000001</c:v>
                </c:pt>
                <c:pt idx="6">
                  <c:v>70.40000000000001</c:v>
                </c:pt>
                <c:pt idx="7">
                  <c:v>69.8</c:v>
                </c:pt>
                <c:pt idx="8">
                  <c:v>69.3</c:v>
                </c:pt>
                <c:pt idx="9">
                  <c:v>68.7</c:v>
                </c:pt>
                <c:pt idx="10">
                  <c:v>68.2</c:v>
                </c:pt>
                <c:pt idx="11">
                  <c:v>67.59999999999999</c:v>
                </c:pt>
                <c:pt idx="12">
                  <c:v>67.2</c:v>
                </c:pt>
                <c:pt idx="13">
                  <c:v>66.7</c:v>
                </c:pt>
                <c:pt idx="14">
                  <c:v>66.2</c:v>
                </c:pt>
                <c:pt idx="15">
                  <c:v>65.59999999999999</c:v>
                </c:pt>
                <c:pt idx="16">
                  <c:v>65.09999999999999</c:v>
                </c:pt>
                <c:pt idx="17">
                  <c:v>64.59999999999999</c:v>
                </c:pt>
                <c:pt idx="18">
                  <c:v>64</c:v>
                </c:pt>
              </c:numCache>
            </c:numRef>
          </c:val>
        </c:ser>
        <c:marker val="1"/>
        <c:axId val="50040001"/>
        <c:axId val="50040002"/>
      </c:lineChart>
      <c:catAx>
        <c:axId val="50040001"/>
        <c:scaling>
          <c:orientation val="minMax"/>
        </c:scaling>
        <c:axPos val="b"/>
        <c:title>
          <c:tx>
            <c:rich>
              <a:bodyPr/>
              <a:lstStyle/>
              <a:p>
                <a:pPr>
                  <a:defRPr/>
                </a:pPr>
                <a:r>
                  <a:rPr lang="en-US"/>
                  <a:t>Week of study</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numFmt formatCode="General" sourceLinked="1"/>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Detected issues by type</a:t>
            </a:r>
          </a:p>
        </c:rich>
      </c:tx>
      <c:layout/>
    </c:title>
    <c:plotArea>
      <c:layout/>
      <c:barChart>
        <c:barDir val="bar"/>
        <c:grouping val="clustered"/>
        <c:ser>
          <c:idx val="0"/>
          <c:order val="0"/>
          <c:tx>
            <c:v>Records affected</c:v>
          </c:tx>
          <c:spPr>
            <a:solidFill>
              <a:srgbClr val="C7522A"/>
            </a:solidFill>
          </c:spPr>
          <c:cat>
            <c:strRef>
              <c:f>'Data Quality'!$C$7:$C$18</c:f>
              <c:strCache>
                <c:ptCount val="12"/>
                <c:pt idx="0">
                  <c:v>phone_unparseable</c:v>
                </c:pt>
                <c:pt idx="1">
                  <c:v>province_unknown</c:v>
                </c:pt>
                <c:pt idx="2">
                  <c:v>attendance_missing</c:v>
                </c:pt>
                <c:pt idx="3">
                  <c:v>duplicate_membership</c:v>
                </c:pt>
                <c:pt idx="4">
                  <c:v>late_arriving</c:v>
                </c:pt>
                <c:pt idx="5">
                  <c:v>duplicate_person</c:v>
                </c:pt>
                <c:pt idx="6">
                  <c:v>email_invalid</c:v>
                </c:pt>
                <c:pt idx="7">
                  <c:v>email_invalid</c:v>
                </c:pt>
                <c:pt idx="8">
                  <c:v>fee_missing</c:v>
                </c:pt>
                <c:pt idx="9">
                  <c:v>date_inversion</c:v>
                </c:pt>
                <c:pt idx="10">
                  <c:v>negative_value</c:v>
                </c:pt>
                <c:pt idx="11">
                  <c:v>late_arriving</c:v>
                </c:pt>
              </c:strCache>
            </c:strRef>
          </c:cat>
          <c:val>
            <c:numRef>
              <c:f>'Data Quality'!$E$7:$E$18</c:f>
              <c:numCache>
                <c:formatCode>General</c:formatCode>
                <c:ptCount val="12"/>
                <c:pt idx="0">
                  <c:v>63115</c:v>
                </c:pt>
                <c:pt idx="1">
                  <c:v>50123</c:v>
                </c:pt>
                <c:pt idx="2">
                  <c:v>41693</c:v>
                </c:pt>
                <c:pt idx="3">
                  <c:v>39931</c:v>
                </c:pt>
                <c:pt idx="4">
                  <c:v>29852</c:v>
                </c:pt>
                <c:pt idx="5">
                  <c:v>28052</c:v>
                </c:pt>
                <c:pt idx="6">
                  <c:v>15842</c:v>
                </c:pt>
                <c:pt idx="7">
                  <c:v>12074</c:v>
                </c:pt>
                <c:pt idx="8">
                  <c:v>3046</c:v>
                </c:pt>
                <c:pt idx="9">
                  <c:v>2912</c:v>
                </c:pt>
                <c:pt idx="10">
                  <c:v>824</c:v>
                </c:pt>
                <c:pt idx="11">
                  <c:v>9</c:v>
                </c:pt>
              </c:numCache>
            </c:numRef>
          </c:val>
        </c:ser>
        <c:gapWidth val="40"/>
        <c:axId val="50050001"/>
        <c:axId val="50050002"/>
      </c:barChart>
      <c:catAx>
        <c:axId val="50050001"/>
        <c:scaling>
          <c:orientation val="minMax"/>
        </c:scaling>
        <c:axPos val="l"/>
        <c:tickLblPos val="nextTo"/>
        <c:crossAx val="50050002"/>
        <c:crosses val="autoZero"/>
        <c:auto val="1"/>
        <c:lblAlgn val="ctr"/>
        <c:lblOffset val="100"/>
      </c:catAx>
      <c:valAx>
        <c:axId val="50050002"/>
        <c:scaling>
          <c:orientation val="minMax"/>
        </c:scaling>
        <c:axPos val="b"/>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16</xdr:row>
      <xdr:rowOff>0</xdr:rowOff>
    </xdr:from>
    <xdr:to>
      <xdr:col>13</xdr:col>
      <xdr:colOff>76200</xdr:colOff>
      <xdr:row>30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19</xdr:row>
      <xdr:rowOff>0</xdr:rowOff>
    </xdr:from>
    <xdr:to>
      <xdr:col>6</xdr:col>
      <xdr:colOff>361950</xdr:colOff>
      <xdr:row>34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19</xdr:row>
      <xdr:rowOff>0</xdr:rowOff>
    </xdr:from>
    <xdr:to>
      <xdr:col>19</xdr:col>
      <xdr:colOff>457200</xdr:colOff>
      <xdr:row>34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27</xdr:row>
      <xdr:rowOff>0</xdr:rowOff>
    </xdr:from>
    <xdr:to>
      <xdr:col>6</xdr:col>
      <xdr:colOff>333375</xdr:colOff>
      <xdr:row>43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20</xdr:row>
      <xdr:rowOff>0</xdr:rowOff>
    </xdr:from>
    <xdr:to>
      <xdr:col>3</xdr:col>
      <xdr:colOff>3009900</xdr:colOff>
      <xdr:row>39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2:J26"/>
  <sheetViews>
    <sheetView showGridLines="0" tabSelected="1" workbookViewId="0"/>
  </sheetViews>
  <sheetFormatPr defaultRowHeight="15"/>
  <cols>
    <col min="1" max="1" width="2.7109375" customWidth="1"/>
    <col min="2" max="3" width="12.7109375" customWidth="1"/>
  </cols>
  <sheetData>
    <row r="2" spans="2:10">
      <c r="B2" s="1" t="s">
        <v>0</v>
      </c>
    </row>
    <row r="3" spans="2:10">
      <c r="B3" s="2" t="s">
        <v>1</v>
      </c>
    </row>
    <row r="4" spans="2:10">
      <c r="B4" s="2" t="s">
        <v>2</v>
      </c>
    </row>
    <row r="7" spans="2:10">
      <c r="B7" s="3" t="s">
        <v>3</v>
      </c>
      <c r="C7" s="3"/>
      <c r="D7" s="3"/>
      <c r="E7" s="3" t="s">
        <v>5</v>
      </c>
      <c r="F7" s="3"/>
      <c r="G7" s="3"/>
      <c r="H7" s="3" t="s">
        <v>7</v>
      </c>
      <c r="I7" s="3"/>
      <c r="J7" s="3"/>
    </row>
    <row r="8" spans="2:10">
      <c r="B8" s="3"/>
      <c r="C8" s="3"/>
      <c r="D8" s="3"/>
      <c r="E8" s="3"/>
      <c r="F8" s="3"/>
      <c r="G8" s="3"/>
      <c r="H8" s="3"/>
      <c r="I8" s="3"/>
      <c r="J8" s="3"/>
    </row>
    <row r="9" spans="2:10">
      <c r="B9" s="4" t="s">
        <v>4</v>
      </c>
      <c r="C9" s="4"/>
      <c r="D9" s="4"/>
      <c r="E9" s="4" t="s">
        <v>6</v>
      </c>
      <c r="F9" s="4"/>
      <c r="G9" s="4"/>
      <c r="H9" s="4" t="s">
        <v>8</v>
      </c>
      <c r="I9" s="4"/>
      <c r="J9" s="4"/>
    </row>
    <row r="11" spans="2:10">
      <c r="B11" s="3" t="s">
        <v>9</v>
      </c>
      <c r="C11" s="3"/>
      <c r="D11" s="3"/>
      <c r="E11" s="3" t="s">
        <v>11</v>
      </c>
      <c r="F11" s="3"/>
      <c r="G11" s="3"/>
      <c r="H11" s="3" t="s">
        <v>13</v>
      </c>
      <c r="I11" s="3"/>
      <c r="J11" s="3"/>
    </row>
    <row r="12" spans="2:10">
      <c r="B12" s="3"/>
      <c r="C12" s="3"/>
      <c r="D12" s="3"/>
      <c r="E12" s="3"/>
      <c r="F12" s="3"/>
      <c r="G12" s="3"/>
      <c r="H12" s="3"/>
      <c r="I12" s="3"/>
      <c r="J12" s="3"/>
    </row>
    <row r="13" spans="2:10">
      <c r="B13" s="4" t="s">
        <v>10</v>
      </c>
      <c r="C13" s="4"/>
      <c r="D13" s="4"/>
      <c r="E13" s="4" t="s">
        <v>12</v>
      </c>
      <c r="F13" s="4"/>
      <c r="G13" s="4"/>
      <c r="H13" s="4" t="s">
        <v>14</v>
      </c>
      <c r="I13" s="4"/>
      <c r="J13" s="4"/>
    </row>
    <row r="16" spans="2:10">
      <c r="B16" s="5" t="s">
        <v>15</v>
      </c>
    </row>
    <row r="17" spans="2:9" ht="30" customHeight="1">
      <c r="B17" s="6" t="s">
        <v>16</v>
      </c>
      <c r="C17" s="6" t="s">
        <v>17</v>
      </c>
    </row>
    <row r="18" spans="2:9">
      <c r="B18" s="7" t="s">
        <v>18</v>
      </c>
      <c r="C18" s="8">
        <v>1500000</v>
      </c>
    </row>
    <row r="19" spans="2:9">
      <c r="B19" s="7" t="s">
        <v>19</v>
      </c>
      <c r="C19" s="8">
        <v>1110674</v>
      </c>
    </row>
    <row r="20" spans="2:9">
      <c r="B20" s="7" t="s">
        <v>20</v>
      </c>
      <c r="C20" s="8">
        <v>706010</v>
      </c>
    </row>
    <row r="21" spans="2:9">
      <c r="B21" s="7" t="s">
        <v>21</v>
      </c>
      <c r="C21" s="8">
        <v>494352</v>
      </c>
    </row>
    <row r="22" spans="2:9">
      <c r="B22" s="7" t="s">
        <v>22</v>
      </c>
      <c r="C22" s="8">
        <v>168157</v>
      </c>
    </row>
    <row r="24" spans="2:9">
      <c r="B24" s="9" t="s">
        <v>23</v>
      </c>
      <c r="C24" s="9"/>
      <c r="D24" s="9"/>
      <c r="E24" s="9"/>
      <c r="F24" s="9"/>
      <c r="G24" s="9"/>
      <c r="H24" s="9"/>
      <c r="I24" s="9"/>
    </row>
    <row r="25" spans="2:9">
      <c r="B25" s="9"/>
      <c r="C25" s="9"/>
      <c r="D25" s="9"/>
      <c r="E25" s="9"/>
      <c r="F25" s="9"/>
      <c r="G25" s="9"/>
      <c r="H25" s="9"/>
      <c r="I25" s="9"/>
    </row>
    <row r="26" spans="2:9">
      <c r="B26" s="9"/>
      <c r="C26" s="9"/>
      <c r="D26" s="9"/>
      <c r="E26" s="9"/>
      <c r="F26" s="9"/>
      <c r="G26" s="9"/>
      <c r="H26" s="9"/>
      <c r="I26" s="9"/>
    </row>
  </sheetData>
  <mergeCells count="13">
    <mergeCell ref="B7:D8"/>
    <mergeCell ref="B9:D9"/>
    <mergeCell ref="E7:G8"/>
    <mergeCell ref="E9:G9"/>
    <mergeCell ref="H7:J8"/>
    <mergeCell ref="H9:J9"/>
    <mergeCell ref="B11:D12"/>
    <mergeCell ref="B13:D13"/>
    <mergeCell ref="E11:G12"/>
    <mergeCell ref="E13:G13"/>
    <mergeCell ref="H11:J12"/>
    <mergeCell ref="H13:J13"/>
    <mergeCell ref="B24:I26"/>
  </mergeCells>
  <conditionalFormatting sqref="B11:D13">
    <cfRule type="notContainsErrors" dxfId="0" priority="4">
      <formula>NOT(ISERROR(B11))</formula>
    </cfRule>
  </conditionalFormatting>
  <conditionalFormatting sqref="B7:D9">
    <cfRule type="notContainsErrors" dxfId="0" priority="1">
      <formula>NOT(ISERROR(B7))</formula>
    </cfRule>
  </conditionalFormatting>
  <conditionalFormatting sqref="E11:G13">
    <cfRule type="notContainsErrors" dxfId="0" priority="5">
      <formula>NOT(ISERROR(E11))</formula>
    </cfRule>
  </conditionalFormatting>
  <conditionalFormatting sqref="E7:G9">
    <cfRule type="notContainsErrors" dxfId="0" priority="2">
      <formula>NOT(ISERROR(E7))</formula>
    </cfRule>
  </conditionalFormatting>
  <conditionalFormatting sqref="H11:J13">
    <cfRule type="notContainsErrors" dxfId="0" priority="6">
      <formula>NOT(ISERROR(H11))</formula>
    </cfRule>
  </conditionalFormatting>
  <conditionalFormatting sqref="H7:J9">
    <cfRule type="notContainsErrors" dxfId="0" priority="3">
      <formula>NOT(ISERROR(H7))</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2:J17"/>
  <sheetViews>
    <sheetView showGridLines="0" workbookViewId="0"/>
  </sheetViews>
  <sheetFormatPr defaultRowHeight="15"/>
  <cols>
    <col min="1" max="1" width="2.7109375" customWidth="1"/>
    <col min="2" max="2" width="18.7109375" customWidth="1"/>
    <col min="3" max="4" width="12.7109375" customWidth="1"/>
    <col min="5" max="5" width="16.7109375" customWidth="1"/>
    <col min="6" max="6" width="13.7109375" customWidth="1"/>
    <col min="7" max="7" width="12.7109375" customWidth="1"/>
    <col min="8" max="8" width="14.7109375" customWidth="1"/>
    <col min="9" max="9" width="21.7109375" customWidth="1"/>
    <col min="10" max="10" width="12.7109375" customWidth="1"/>
  </cols>
  <sheetData>
    <row r="2" spans="2:10">
      <c r="B2" s="1" t="s">
        <v>24</v>
      </c>
    </row>
    <row r="3" spans="2:10">
      <c r="B3" s="2" t="s">
        <v>25</v>
      </c>
    </row>
    <row r="6" spans="2:10" ht="30" customHeight="1">
      <c r="B6" s="6" t="s">
        <v>26</v>
      </c>
      <c r="C6" s="6" t="s">
        <v>27</v>
      </c>
      <c r="D6" s="6" t="s">
        <v>28</v>
      </c>
      <c r="E6" s="6" t="s">
        <v>29</v>
      </c>
      <c r="F6" s="6" t="s">
        <v>30</v>
      </c>
      <c r="G6" s="6" t="s">
        <v>31</v>
      </c>
      <c r="H6" s="6" t="s">
        <v>32</v>
      </c>
      <c r="I6" s="6" t="s">
        <v>33</v>
      </c>
      <c r="J6" s="6" t="s">
        <v>34</v>
      </c>
    </row>
    <row r="7" spans="2:10">
      <c r="B7" s="7" t="s">
        <v>35</v>
      </c>
      <c r="C7" s="8">
        <v>30</v>
      </c>
      <c r="D7" s="8">
        <v>155460</v>
      </c>
      <c r="E7" s="8">
        <v>28936</v>
      </c>
      <c r="F7" s="8">
        <v>6908</v>
      </c>
      <c r="G7" s="10">
        <v>23480008</v>
      </c>
      <c r="H7" s="10">
        <v>53758718</v>
      </c>
      <c r="I7" s="10">
        <v>3399</v>
      </c>
      <c r="J7" s="11">
        <v>2.29</v>
      </c>
    </row>
    <row r="8" spans="2:10">
      <c r="B8" s="7" t="s">
        <v>36</v>
      </c>
      <c r="C8" s="8">
        <v>12</v>
      </c>
      <c r="D8" s="8">
        <v>62342</v>
      </c>
      <c r="E8" s="8">
        <v>11650</v>
      </c>
      <c r="F8" s="8">
        <v>2788</v>
      </c>
      <c r="G8" s="10">
        <v>10132364</v>
      </c>
      <c r="H8" s="10">
        <v>21588217</v>
      </c>
      <c r="I8" s="10">
        <v>3634</v>
      </c>
      <c r="J8" s="11">
        <v>2.13</v>
      </c>
    </row>
    <row r="9" spans="2:10">
      <c r="B9" s="7" t="s">
        <v>37</v>
      </c>
      <c r="C9" s="8">
        <v>45</v>
      </c>
      <c r="D9" s="8">
        <v>233682</v>
      </c>
      <c r="E9" s="8">
        <v>43697</v>
      </c>
      <c r="F9" s="8">
        <v>10425</v>
      </c>
      <c r="G9" s="10">
        <v>40290893</v>
      </c>
      <c r="H9" s="10">
        <v>81337339</v>
      </c>
      <c r="I9" s="10">
        <v>3865</v>
      </c>
      <c r="J9" s="11">
        <v>2.02</v>
      </c>
    </row>
    <row r="10" spans="2:10">
      <c r="B10" s="7" t="s">
        <v>38</v>
      </c>
      <c r="C10" s="8">
        <v>52</v>
      </c>
      <c r="D10" s="8">
        <v>270353</v>
      </c>
      <c r="E10" s="8">
        <v>50203</v>
      </c>
      <c r="F10" s="8">
        <v>11790</v>
      </c>
      <c r="G10" s="10">
        <v>47057019</v>
      </c>
      <c r="H10" s="10">
        <v>91030563</v>
      </c>
      <c r="I10" s="10">
        <v>3991</v>
      </c>
      <c r="J10" s="11">
        <v>1.93</v>
      </c>
    </row>
    <row r="11" spans="2:10">
      <c r="B11" s="7" t="s">
        <v>39</v>
      </c>
      <c r="C11" s="8">
        <v>95</v>
      </c>
      <c r="D11" s="8">
        <v>494465</v>
      </c>
      <c r="E11" s="8">
        <v>92246</v>
      </c>
      <c r="F11" s="8">
        <v>22198</v>
      </c>
      <c r="G11" s="10">
        <v>93212292</v>
      </c>
      <c r="H11" s="10">
        <v>172236284</v>
      </c>
      <c r="I11" s="10">
        <v>4199</v>
      </c>
      <c r="J11" s="11">
        <v>1.85</v>
      </c>
    </row>
    <row r="12" spans="2:10">
      <c r="B12" s="7" t="s">
        <v>40</v>
      </c>
      <c r="C12" s="8">
        <v>48</v>
      </c>
      <c r="D12" s="8">
        <v>249229</v>
      </c>
      <c r="E12" s="8">
        <v>46719</v>
      </c>
      <c r="F12" s="8">
        <v>11206</v>
      </c>
      <c r="G12" s="10">
        <v>47134953</v>
      </c>
      <c r="H12" s="10">
        <v>86429807</v>
      </c>
      <c r="I12" s="10">
        <v>4206</v>
      </c>
      <c r="J12" s="11">
        <v>1.83</v>
      </c>
    </row>
    <row r="13" spans="2:10">
      <c r="B13" s="7" t="s">
        <v>41</v>
      </c>
      <c r="C13" s="8">
        <v>11</v>
      </c>
      <c r="D13" s="8">
        <v>57305</v>
      </c>
      <c r="E13" s="8">
        <v>10737</v>
      </c>
      <c r="F13" s="8">
        <v>2505</v>
      </c>
      <c r="G13" s="10">
        <v>10717004</v>
      </c>
      <c r="H13" s="10">
        <v>19005147</v>
      </c>
      <c r="I13" s="10">
        <v>4278</v>
      </c>
      <c r="J13" s="11">
        <v>1.77</v>
      </c>
    </row>
    <row r="14" spans="2:10">
      <c r="B14" s="7" t="s">
        <v>42</v>
      </c>
      <c r="C14" s="8">
        <v>31</v>
      </c>
      <c r="D14" s="8">
        <v>161041</v>
      </c>
      <c r="E14" s="8">
        <v>30133</v>
      </c>
      <c r="F14" s="8">
        <v>7146</v>
      </c>
      <c r="G14" s="10">
        <v>31979604</v>
      </c>
      <c r="H14" s="10">
        <v>55838981</v>
      </c>
      <c r="I14" s="10">
        <v>4475</v>
      </c>
      <c r="J14" s="11">
        <v>1.75</v>
      </c>
    </row>
    <row r="15" spans="2:10">
      <c r="B15" s="7" t="s">
        <v>43</v>
      </c>
      <c r="C15" s="8">
        <v>119</v>
      </c>
      <c r="D15" s="8">
        <v>617754</v>
      </c>
      <c r="E15" s="8">
        <v>115567</v>
      </c>
      <c r="F15" s="8">
        <v>27629</v>
      </c>
      <c r="G15" s="10">
        <v>125777558</v>
      </c>
      <c r="H15" s="10">
        <v>212741313</v>
      </c>
      <c r="I15" s="10">
        <v>4552</v>
      </c>
      <c r="J15" s="11">
        <v>1.69</v>
      </c>
    </row>
    <row r="16" spans="2:10">
      <c r="B16" s="7" t="s">
        <v>44</v>
      </c>
      <c r="C16" s="8">
        <v>5</v>
      </c>
      <c r="D16" s="8">
        <v>25996</v>
      </c>
      <c r="E16" s="8">
        <v>4972</v>
      </c>
      <c r="F16" s="8">
        <v>1188</v>
      </c>
      <c r="G16" s="10">
        <v>6093759</v>
      </c>
      <c r="H16" s="10">
        <v>9529919</v>
      </c>
      <c r="I16" s="10">
        <v>5129</v>
      </c>
      <c r="J16" s="11">
        <v>1.56</v>
      </c>
    </row>
    <row r="17" spans="2:10">
      <c r="B17" s="7" t="s">
        <v>45</v>
      </c>
      <c r="C17" s="8">
        <v>32</v>
      </c>
      <c r="D17" s="8">
        <v>165882</v>
      </c>
      <c r="E17" s="8">
        <v>30947</v>
      </c>
      <c r="F17" s="8">
        <v>7247</v>
      </c>
      <c r="G17" s="10">
        <v>36119539</v>
      </c>
      <c r="H17" s="10">
        <v>55858249</v>
      </c>
      <c r="I17" s="10">
        <v>4984</v>
      </c>
      <c r="J17" s="11">
        <v>1.55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B2:I40"/>
  <sheetViews>
    <sheetView showGridLines="0" workbookViewId="0"/>
  </sheetViews>
  <sheetFormatPr defaultRowHeight="15"/>
  <cols>
    <col min="1" max="1" width="2.7109375" customWidth="1"/>
    <col min="2" max="2" width="46.7109375" customWidth="1"/>
    <col min="3" max="3" width="22.7109375" customWidth="1"/>
    <col min="4" max="4" width="16.7109375" customWidth="1"/>
    <col min="5" max="5" width="21.7109375" customWidth="1"/>
    <col min="6" max="6" width="16.7109375" customWidth="1"/>
    <col min="7" max="7" width="13.7109375" customWidth="1"/>
    <col min="8" max="8" width="19.7109375" customWidth="1"/>
    <col min="9" max="9" width="14.7109375" customWidth="1"/>
  </cols>
  <sheetData>
    <row r="2" spans="2:9">
      <c r="B2" s="1" t="s">
        <v>46</v>
      </c>
    </row>
    <row r="3" spans="2:9">
      <c r="B3" s="2" t="s">
        <v>47</v>
      </c>
    </row>
    <row r="6" spans="2:9" ht="30" customHeight="1">
      <c r="B6" s="6" t="s">
        <v>48</v>
      </c>
      <c r="C6" s="6" t="s">
        <v>49</v>
      </c>
      <c r="D6" s="6" t="s">
        <v>50</v>
      </c>
      <c r="E6" s="6" t="s">
        <v>51</v>
      </c>
      <c r="F6" s="6" t="s">
        <v>29</v>
      </c>
      <c r="G6" s="6" t="s">
        <v>30</v>
      </c>
      <c r="H6" s="6" t="s">
        <v>52</v>
      </c>
      <c r="I6" s="6" t="s">
        <v>32</v>
      </c>
    </row>
    <row r="7" spans="2:9">
      <c r="B7" s="7" t="s">
        <v>53</v>
      </c>
      <c r="C7" s="7" t="s">
        <v>54</v>
      </c>
      <c r="D7" s="7" t="s">
        <v>55</v>
      </c>
      <c r="E7" s="10">
        <v>13500</v>
      </c>
      <c r="F7" s="8">
        <v>15109</v>
      </c>
      <c r="G7" s="8">
        <v>3721</v>
      </c>
      <c r="H7" s="11">
        <v>15.1</v>
      </c>
      <c r="I7" s="10">
        <v>41480838</v>
      </c>
    </row>
    <row r="8" spans="2:9">
      <c r="B8" s="7" t="s">
        <v>56</v>
      </c>
      <c r="C8" s="7" t="s">
        <v>54</v>
      </c>
      <c r="D8" s="7" t="s">
        <v>55</v>
      </c>
      <c r="E8" s="10">
        <v>16500</v>
      </c>
      <c r="F8" s="8">
        <v>15184</v>
      </c>
      <c r="G8" s="8">
        <v>3687</v>
      </c>
      <c r="H8" s="11">
        <v>14.9</v>
      </c>
      <c r="I8" s="10">
        <v>50426592</v>
      </c>
    </row>
    <row r="9" spans="2:9">
      <c r="B9" s="7" t="s">
        <v>57</v>
      </c>
      <c r="C9" s="7" t="s">
        <v>54</v>
      </c>
      <c r="D9" s="7" t="s">
        <v>55</v>
      </c>
      <c r="E9" s="10">
        <v>16500</v>
      </c>
      <c r="F9" s="8">
        <v>15143</v>
      </c>
      <c r="G9" s="8">
        <v>3680</v>
      </c>
      <c r="H9" s="11">
        <v>15.3</v>
      </c>
      <c r="I9" s="10">
        <v>49848766</v>
      </c>
    </row>
    <row r="10" spans="2:9">
      <c r="B10" s="7" t="s">
        <v>58</v>
      </c>
      <c r="C10" s="7" t="s">
        <v>54</v>
      </c>
      <c r="D10" s="7" t="s">
        <v>55</v>
      </c>
      <c r="E10" s="10">
        <v>13500</v>
      </c>
      <c r="F10" s="8">
        <v>15110</v>
      </c>
      <c r="G10" s="8">
        <v>3666</v>
      </c>
      <c r="H10" s="11">
        <v>15.1</v>
      </c>
      <c r="I10" s="10">
        <v>40697765</v>
      </c>
    </row>
    <row r="11" spans="2:9">
      <c r="B11" s="7" t="s">
        <v>59</v>
      </c>
      <c r="C11" s="7" t="s">
        <v>60</v>
      </c>
      <c r="D11" s="7" t="s">
        <v>55</v>
      </c>
      <c r="E11" s="10">
        <v>36500</v>
      </c>
      <c r="F11" s="8">
        <v>15208</v>
      </c>
      <c r="G11" s="8">
        <v>3653</v>
      </c>
      <c r="H11" s="11">
        <v>15.2</v>
      </c>
      <c r="I11" s="10">
        <v>109341735</v>
      </c>
    </row>
    <row r="12" spans="2:9">
      <c r="B12" s="7" t="s">
        <v>61</v>
      </c>
      <c r="C12" s="7" t="s">
        <v>62</v>
      </c>
      <c r="D12" s="7" t="s">
        <v>63</v>
      </c>
      <c r="E12" s="10"/>
      <c r="F12" s="8">
        <v>14934</v>
      </c>
      <c r="G12" s="8">
        <v>3651</v>
      </c>
      <c r="H12" s="11"/>
      <c r="I12" s="10"/>
    </row>
    <row r="13" spans="2:9">
      <c r="B13" s="7" t="s">
        <v>64</v>
      </c>
      <c r="C13" s="7" t="s">
        <v>65</v>
      </c>
      <c r="D13" s="7" t="s">
        <v>55</v>
      </c>
      <c r="E13" s="10"/>
      <c r="F13" s="8">
        <v>15125</v>
      </c>
      <c r="G13" s="8">
        <v>3644</v>
      </c>
      <c r="H13" s="11"/>
      <c r="I13" s="10"/>
    </row>
    <row r="14" spans="2:9">
      <c r="B14" s="7" t="s">
        <v>66</v>
      </c>
      <c r="C14" s="7" t="s">
        <v>54</v>
      </c>
      <c r="D14" s="7" t="s">
        <v>55</v>
      </c>
      <c r="E14" s="10">
        <v>13500</v>
      </c>
      <c r="F14" s="8">
        <v>15216</v>
      </c>
      <c r="G14" s="8">
        <v>3643</v>
      </c>
      <c r="H14" s="11">
        <v>14.8</v>
      </c>
      <c r="I14" s="10">
        <v>40630757</v>
      </c>
    </row>
    <row r="15" spans="2:9">
      <c r="B15" s="7" t="s">
        <v>67</v>
      </c>
      <c r="C15" s="7" t="s">
        <v>54</v>
      </c>
      <c r="D15" s="7" t="s">
        <v>55</v>
      </c>
      <c r="E15" s="10">
        <v>13500</v>
      </c>
      <c r="F15" s="8">
        <v>14977</v>
      </c>
      <c r="G15" s="8">
        <v>3634</v>
      </c>
      <c r="H15" s="11">
        <v>14.9</v>
      </c>
      <c r="I15" s="10">
        <v>40585352</v>
      </c>
    </row>
    <row r="16" spans="2:9">
      <c r="B16" s="7" t="s">
        <v>68</v>
      </c>
      <c r="C16" s="7" t="s">
        <v>60</v>
      </c>
      <c r="D16" s="7" t="s">
        <v>55</v>
      </c>
      <c r="E16" s="10">
        <v>27000</v>
      </c>
      <c r="F16" s="8">
        <v>15082</v>
      </c>
      <c r="G16" s="8">
        <v>3621</v>
      </c>
      <c r="H16" s="11">
        <v>14.9</v>
      </c>
      <c r="I16" s="10">
        <v>80324634</v>
      </c>
    </row>
    <row r="17" spans="2:9">
      <c r="B17" s="7" t="s">
        <v>69</v>
      </c>
      <c r="C17" s="7" t="s">
        <v>54</v>
      </c>
      <c r="D17" s="7" t="s">
        <v>55</v>
      </c>
      <c r="E17" s="10">
        <v>16500</v>
      </c>
      <c r="F17" s="8">
        <v>15214</v>
      </c>
      <c r="G17" s="8">
        <v>3617</v>
      </c>
      <c r="H17" s="11">
        <v>14.7</v>
      </c>
      <c r="I17" s="10">
        <v>49158813</v>
      </c>
    </row>
    <row r="18" spans="2:9">
      <c r="B18" s="7" t="s">
        <v>70</v>
      </c>
      <c r="C18" s="7" t="s">
        <v>54</v>
      </c>
      <c r="D18" s="7" t="s">
        <v>55</v>
      </c>
      <c r="E18" s="10">
        <v>13500</v>
      </c>
      <c r="F18" s="8">
        <v>15105</v>
      </c>
      <c r="G18" s="8">
        <v>3614</v>
      </c>
      <c r="H18" s="11">
        <v>14.8</v>
      </c>
      <c r="I18" s="10">
        <v>40340020</v>
      </c>
    </row>
    <row r="19" spans="2:9">
      <c r="B19" s="7" t="s">
        <v>71</v>
      </c>
      <c r="C19" s="7" t="s">
        <v>54</v>
      </c>
      <c r="D19" s="7" t="s">
        <v>55</v>
      </c>
      <c r="E19" s="10">
        <v>4900</v>
      </c>
      <c r="F19" s="8">
        <v>15022</v>
      </c>
      <c r="G19" s="8">
        <v>3609</v>
      </c>
      <c r="H19" s="11">
        <v>14.8</v>
      </c>
      <c r="I19" s="10">
        <v>14636122</v>
      </c>
    </row>
    <row r="20" spans="2:9">
      <c r="B20" s="7" t="s">
        <v>72</v>
      </c>
      <c r="C20" s="7" t="s">
        <v>60</v>
      </c>
      <c r="D20" s="7" t="s">
        <v>55</v>
      </c>
      <c r="E20" s="10">
        <v>27000</v>
      </c>
      <c r="F20" s="8">
        <v>15042</v>
      </c>
      <c r="G20" s="8">
        <v>3607</v>
      </c>
      <c r="H20" s="11">
        <v>14.8</v>
      </c>
      <c r="I20" s="10">
        <v>80377059</v>
      </c>
    </row>
    <row r="21" spans="2:9">
      <c r="B21" s="7" t="s">
        <v>73</v>
      </c>
      <c r="C21" s="7" t="s">
        <v>54</v>
      </c>
      <c r="D21" s="7" t="s">
        <v>55</v>
      </c>
      <c r="E21" s="10"/>
      <c r="F21" s="8">
        <v>14783</v>
      </c>
      <c r="G21" s="8">
        <v>3606</v>
      </c>
      <c r="H21" s="11"/>
      <c r="I21" s="10"/>
    </row>
    <row r="22" spans="2:9">
      <c r="B22" s="7" t="s">
        <v>74</v>
      </c>
      <c r="C22" s="7" t="s">
        <v>65</v>
      </c>
      <c r="D22" s="7" t="s">
        <v>63</v>
      </c>
      <c r="E22" s="10"/>
      <c r="F22" s="8">
        <v>14905</v>
      </c>
      <c r="G22" s="8">
        <v>3601</v>
      </c>
      <c r="H22" s="11"/>
      <c r="I22" s="10"/>
    </row>
    <row r="23" spans="2:9">
      <c r="B23" s="7" t="s">
        <v>75</v>
      </c>
      <c r="C23" s="7" t="s">
        <v>54</v>
      </c>
      <c r="D23" s="7" t="s">
        <v>55</v>
      </c>
      <c r="E23" s="10">
        <v>9000</v>
      </c>
      <c r="F23" s="8">
        <v>14837</v>
      </c>
      <c r="G23" s="8">
        <v>3598</v>
      </c>
      <c r="H23" s="11">
        <v>15</v>
      </c>
      <c r="I23" s="10">
        <v>26665814</v>
      </c>
    </row>
    <row r="24" spans="2:9">
      <c r="B24" s="7" t="s">
        <v>76</v>
      </c>
      <c r="C24" s="7" t="s">
        <v>62</v>
      </c>
      <c r="D24" s="7" t="s">
        <v>63</v>
      </c>
      <c r="E24" s="10"/>
      <c r="F24" s="8">
        <v>15248</v>
      </c>
      <c r="G24" s="8">
        <v>3595</v>
      </c>
      <c r="H24" s="11"/>
      <c r="I24" s="10"/>
    </row>
    <row r="25" spans="2:9">
      <c r="B25" s="7" t="s">
        <v>61</v>
      </c>
      <c r="C25" s="7" t="s">
        <v>62</v>
      </c>
      <c r="D25" s="7" t="s">
        <v>55</v>
      </c>
      <c r="E25" s="10"/>
      <c r="F25" s="8">
        <v>14902</v>
      </c>
      <c r="G25" s="8">
        <v>3584</v>
      </c>
      <c r="H25" s="11"/>
      <c r="I25" s="10"/>
    </row>
    <row r="26" spans="2:9">
      <c r="B26" s="7" t="s">
        <v>77</v>
      </c>
      <c r="C26" s="7" t="s">
        <v>60</v>
      </c>
      <c r="D26" s="7" t="s">
        <v>55</v>
      </c>
      <c r="E26" s="10">
        <v>27000</v>
      </c>
      <c r="F26" s="8">
        <v>15063</v>
      </c>
      <c r="G26" s="8">
        <v>3582</v>
      </c>
      <c r="H26" s="11">
        <v>15.1</v>
      </c>
      <c r="I26" s="10">
        <v>79463550</v>
      </c>
    </row>
    <row r="27" spans="2:9">
      <c r="B27" s="7" t="s">
        <v>78</v>
      </c>
      <c r="C27" s="7" t="s">
        <v>62</v>
      </c>
      <c r="D27" s="7" t="s">
        <v>55</v>
      </c>
      <c r="E27" s="10"/>
      <c r="F27" s="8">
        <v>15092</v>
      </c>
      <c r="G27" s="8">
        <v>3581</v>
      </c>
      <c r="H27" s="11"/>
      <c r="I27" s="10"/>
    </row>
    <row r="28" spans="2:9">
      <c r="B28" s="7" t="s">
        <v>79</v>
      </c>
      <c r="C28" s="7" t="s">
        <v>65</v>
      </c>
      <c r="D28" s="7" t="s">
        <v>55</v>
      </c>
      <c r="E28" s="10"/>
      <c r="F28" s="8">
        <v>15154</v>
      </c>
      <c r="G28" s="8">
        <v>3577</v>
      </c>
      <c r="H28" s="11"/>
      <c r="I28" s="10"/>
    </row>
    <row r="29" spans="2:9">
      <c r="B29" s="7" t="s">
        <v>80</v>
      </c>
      <c r="C29" s="7" t="s">
        <v>54</v>
      </c>
      <c r="D29" s="7" t="s">
        <v>55</v>
      </c>
      <c r="E29" s="10"/>
      <c r="F29" s="8">
        <v>14994</v>
      </c>
      <c r="G29" s="8">
        <v>3575</v>
      </c>
      <c r="H29" s="11"/>
      <c r="I29" s="10"/>
    </row>
    <row r="30" spans="2:9">
      <c r="B30" s="7" t="s">
        <v>81</v>
      </c>
      <c r="C30" s="7" t="s">
        <v>54</v>
      </c>
      <c r="D30" s="7" t="s">
        <v>55</v>
      </c>
      <c r="E30" s="10">
        <v>14900</v>
      </c>
      <c r="F30" s="8">
        <v>14885</v>
      </c>
      <c r="G30" s="8">
        <v>3573</v>
      </c>
      <c r="H30" s="11">
        <v>14.9</v>
      </c>
      <c r="I30" s="10">
        <v>43823750</v>
      </c>
    </row>
    <row r="31" spans="2:9">
      <c r="B31" s="7" t="s">
        <v>82</v>
      </c>
      <c r="C31" s="7" t="s">
        <v>54</v>
      </c>
      <c r="D31" s="7" t="s">
        <v>55</v>
      </c>
      <c r="E31" s="10">
        <v>13500</v>
      </c>
      <c r="F31" s="8">
        <v>15121</v>
      </c>
      <c r="G31" s="8">
        <v>3567</v>
      </c>
      <c r="H31" s="11">
        <v>15.1</v>
      </c>
      <c r="I31" s="10">
        <v>39533803</v>
      </c>
    </row>
    <row r="32" spans="2:9">
      <c r="B32" s="7" t="s">
        <v>83</v>
      </c>
      <c r="C32" s="7" t="s">
        <v>54</v>
      </c>
      <c r="D32" s="7" t="s">
        <v>55</v>
      </c>
      <c r="E32" s="10">
        <v>14900</v>
      </c>
      <c r="F32" s="8">
        <v>14888</v>
      </c>
      <c r="G32" s="8">
        <v>3564</v>
      </c>
      <c r="H32" s="11">
        <v>15</v>
      </c>
      <c r="I32" s="10">
        <v>43659853</v>
      </c>
    </row>
    <row r="33" spans="2:9">
      <c r="B33" s="7" t="s">
        <v>84</v>
      </c>
      <c r="C33" s="7" t="s">
        <v>62</v>
      </c>
      <c r="D33" s="7" t="s">
        <v>63</v>
      </c>
      <c r="E33" s="10"/>
      <c r="F33" s="8">
        <v>15045</v>
      </c>
      <c r="G33" s="8">
        <v>3563</v>
      </c>
      <c r="H33" s="11"/>
      <c r="I33" s="10"/>
    </row>
    <row r="34" spans="2:9">
      <c r="B34" s="7" t="s">
        <v>76</v>
      </c>
      <c r="C34" s="7" t="s">
        <v>62</v>
      </c>
      <c r="D34" s="7" t="s">
        <v>55</v>
      </c>
      <c r="E34" s="10"/>
      <c r="F34" s="8">
        <v>15182</v>
      </c>
      <c r="G34" s="8">
        <v>3563</v>
      </c>
      <c r="H34" s="11"/>
      <c r="I34" s="10"/>
    </row>
    <row r="35" spans="2:9">
      <c r="B35" s="7" t="s">
        <v>85</v>
      </c>
      <c r="C35" s="7" t="s">
        <v>62</v>
      </c>
      <c r="D35" s="7" t="s">
        <v>55</v>
      </c>
      <c r="E35" s="10"/>
      <c r="F35" s="8">
        <v>14939</v>
      </c>
      <c r="G35" s="8">
        <v>3561</v>
      </c>
      <c r="H35" s="11"/>
      <c r="I35" s="10"/>
    </row>
    <row r="36" spans="2:9">
      <c r="B36" s="7" t="s">
        <v>86</v>
      </c>
      <c r="C36" s="7" t="s">
        <v>54</v>
      </c>
      <c r="D36" s="7" t="s">
        <v>55</v>
      </c>
      <c r="E36" s="10"/>
      <c r="F36" s="8">
        <v>15093</v>
      </c>
      <c r="G36" s="8">
        <v>3560</v>
      </c>
      <c r="H36" s="11"/>
      <c r="I36" s="10"/>
    </row>
    <row r="38" spans="2:9">
      <c r="B38" s="12" t="s">
        <v>87</v>
      </c>
      <c r="C38" s="12"/>
      <c r="D38" s="12"/>
      <c r="E38" s="12"/>
      <c r="F38" s="12"/>
      <c r="G38" s="12"/>
      <c r="H38" s="12"/>
      <c r="I38" s="12"/>
    </row>
    <row r="39" spans="2:9">
      <c r="B39" s="12"/>
      <c r="C39" s="12"/>
      <c r="D39" s="12"/>
      <c r="E39" s="12"/>
      <c r="F39" s="12"/>
      <c r="G39" s="12"/>
      <c r="H39" s="12"/>
      <c r="I39" s="12"/>
    </row>
    <row r="40" spans="2:9">
      <c r="B40" s="12"/>
      <c r="C40" s="12"/>
      <c r="D40" s="12"/>
      <c r="E40" s="12"/>
      <c r="F40" s="12"/>
      <c r="G40" s="12"/>
      <c r="H40" s="12"/>
      <c r="I40" s="12"/>
    </row>
  </sheetData>
  <mergeCells count="1">
    <mergeCell ref="B38:I4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G25"/>
  <sheetViews>
    <sheetView showGridLines="0" workbookViewId="0"/>
  </sheetViews>
  <sheetFormatPr defaultRowHeight="15"/>
  <cols>
    <col min="1" max="1" width="2.7109375" customWidth="1"/>
    <col min="2" max="2" width="14.7109375" customWidth="1"/>
    <col min="3" max="3" width="19.7109375" customWidth="1"/>
    <col min="4" max="4" width="12.7109375" customWidth="1"/>
    <col min="5" max="5" width="14.7109375" customWidth="1"/>
    <col min="6" max="7" width="21.7109375" customWidth="1"/>
  </cols>
  <sheetData>
    <row r="2" spans="2:7">
      <c r="B2" s="1" t="s">
        <v>88</v>
      </c>
    </row>
    <row r="3" spans="2:7">
      <c r="B3" s="2" t="s">
        <v>89</v>
      </c>
    </row>
    <row r="6" spans="2:7" ht="30" customHeight="1">
      <c r="B6" s="6" t="s">
        <v>90</v>
      </c>
      <c r="C6" s="6" t="s">
        <v>91</v>
      </c>
      <c r="D6" s="6" t="s">
        <v>92</v>
      </c>
      <c r="E6" s="6" t="s">
        <v>93</v>
      </c>
      <c r="F6" s="6" t="s">
        <v>94</v>
      </c>
      <c r="G6" s="6" t="s">
        <v>95</v>
      </c>
    </row>
    <row r="7" spans="2:7">
      <c r="B7" s="7">
        <v>1</v>
      </c>
      <c r="C7" s="8">
        <v>168157</v>
      </c>
      <c r="D7" s="8">
        <v>12359</v>
      </c>
      <c r="E7" s="11">
        <v>7.3</v>
      </c>
      <c r="F7" s="11">
        <v>83.09999999999999</v>
      </c>
      <c r="G7" s="11">
        <v>73.3</v>
      </c>
    </row>
    <row r="8" spans="2:7">
      <c r="B8" s="7">
        <v>2</v>
      </c>
      <c r="C8" s="8">
        <v>168157</v>
      </c>
      <c r="D8" s="8">
        <v>13444</v>
      </c>
      <c r="E8" s="11">
        <v>8</v>
      </c>
      <c r="F8" s="11">
        <v>82.3</v>
      </c>
      <c r="G8" s="11">
        <v>72.8</v>
      </c>
    </row>
    <row r="9" spans="2:7">
      <c r="B9" s="7">
        <v>3</v>
      </c>
      <c r="C9" s="8">
        <v>168157</v>
      </c>
      <c r="D9" s="8">
        <v>14470</v>
      </c>
      <c r="E9" s="11">
        <v>8.6</v>
      </c>
      <c r="F9" s="11">
        <v>81.5</v>
      </c>
      <c r="G9" s="11">
        <v>72.3</v>
      </c>
    </row>
    <row r="10" spans="2:7">
      <c r="B10" s="7">
        <v>4</v>
      </c>
      <c r="C10" s="8">
        <v>168157</v>
      </c>
      <c r="D10" s="8">
        <v>15692</v>
      </c>
      <c r="E10" s="11">
        <v>9.300000000000001</v>
      </c>
      <c r="F10" s="11">
        <v>80.8</v>
      </c>
      <c r="G10" s="11">
        <v>71.90000000000001</v>
      </c>
    </row>
    <row r="11" spans="2:7">
      <c r="B11" s="7">
        <v>5</v>
      </c>
      <c r="C11" s="8">
        <v>168157</v>
      </c>
      <c r="D11" s="8">
        <v>17124</v>
      </c>
      <c r="E11" s="11">
        <v>10.2</v>
      </c>
      <c r="F11" s="11">
        <v>79.8</v>
      </c>
      <c r="G11" s="11">
        <v>71.40000000000001</v>
      </c>
    </row>
    <row r="12" spans="2:7">
      <c r="B12" s="7">
        <v>6</v>
      </c>
      <c r="C12" s="8">
        <v>168157</v>
      </c>
      <c r="D12" s="8">
        <v>18382</v>
      </c>
      <c r="E12" s="11">
        <v>10.9</v>
      </c>
      <c r="F12" s="11">
        <v>79.09999999999999</v>
      </c>
      <c r="G12" s="11">
        <v>70.90000000000001</v>
      </c>
    </row>
    <row r="13" spans="2:7">
      <c r="B13" s="7">
        <v>7</v>
      </c>
      <c r="C13" s="8">
        <v>156078</v>
      </c>
      <c r="D13" s="8">
        <v>18441</v>
      </c>
      <c r="E13" s="11">
        <v>11.8</v>
      </c>
      <c r="F13" s="11">
        <v>78.2</v>
      </c>
      <c r="G13" s="11">
        <v>70.40000000000001</v>
      </c>
    </row>
    <row r="14" spans="2:7">
      <c r="B14" s="7">
        <v>8</v>
      </c>
      <c r="C14" s="8">
        <v>144020</v>
      </c>
      <c r="D14" s="8">
        <v>18676</v>
      </c>
      <c r="E14" s="11">
        <v>13</v>
      </c>
      <c r="F14" s="11">
        <v>77.3</v>
      </c>
      <c r="G14" s="11">
        <v>69.8</v>
      </c>
    </row>
    <row r="15" spans="2:7">
      <c r="B15" s="7">
        <v>9</v>
      </c>
      <c r="C15" s="8">
        <v>132098</v>
      </c>
      <c r="D15" s="8">
        <v>18288</v>
      </c>
      <c r="E15" s="11">
        <v>13.8</v>
      </c>
      <c r="F15" s="11">
        <v>76.5</v>
      </c>
      <c r="G15" s="11">
        <v>69.3</v>
      </c>
    </row>
    <row r="16" spans="2:7">
      <c r="B16" s="7">
        <v>10</v>
      </c>
      <c r="C16" s="8">
        <v>120031</v>
      </c>
      <c r="D16" s="8">
        <v>18353</v>
      </c>
      <c r="E16" s="11">
        <v>15.3</v>
      </c>
      <c r="F16" s="11">
        <v>75.59999999999999</v>
      </c>
      <c r="G16" s="11">
        <v>68.7</v>
      </c>
    </row>
    <row r="17" spans="2:7">
      <c r="B17" s="7">
        <v>11</v>
      </c>
      <c r="C17" s="8">
        <v>107906</v>
      </c>
      <c r="D17" s="8">
        <v>17452</v>
      </c>
      <c r="E17" s="11">
        <v>16.2</v>
      </c>
      <c r="F17" s="11">
        <v>74.8</v>
      </c>
      <c r="G17" s="11">
        <v>68.2</v>
      </c>
    </row>
    <row r="18" spans="2:7">
      <c r="B18" s="7">
        <v>12</v>
      </c>
      <c r="C18" s="8">
        <v>95862</v>
      </c>
      <c r="D18" s="8">
        <v>16852</v>
      </c>
      <c r="E18" s="11">
        <v>17.6</v>
      </c>
      <c r="F18" s="11">
        <v>73.90000000000001</v>
      </c>
      <c r="G18" s="11">
        <v>67.59999999999999</v>
      </c>
    </row>
    <row r="19" spans="2:7">
      <c r="B19" s="7">
        <v>13</v>
      </c>
      <c r="C19" s="8">
        <v>83978</v>
      </c>
      <c r="D19" s="8">
        <v>15720</v>
      </c>
      <c r="E19" s="11">
        <v>18.7</v>
      </c>
      <c r="F19" s="11">
        <v>73</v>
      </c>
      <c r="G19" s="11">
        <v>67.2</v>
      </c>
    </row>
    <row r="20" spans="2:7">
      <c r="B20" s="7">
        <v>14</v>
      </c>
      <c r="C20" s="8">
        <v>72025</v>
      </c>
      <c r="D20" s="8">
        <v>14299</v>
      </c>
      <c r="E20" s="11">
        <v>19.9</v>
      </c>
      <c r="F20" s="11">
        <v>72.2</v>
      </c>
      <c r="G20" s="11">
        <v>66.7</v>
      </c>
    </row>
    <row r="21" spans="2:7">
      <c r="B21" s="7">
        <v>15</v>
      </c>
      <c r="C21" s="8">
        <v>60079</v>
      </c>
      <c r="D21" s="8">
        <v>12933</v>
      </c>
      <c r="E21" s="11">
        <v>21.5</v>
      </c>
      <c r="F21" s="11">
        <v>71.2</v>
      </c>
      <c r="G21" s="11">
        <v>66.2</v>
      </c>
    </row>
    <row r="22" spans="2:7">
      <c r="B22" s="7">
        <v>16</v>
      </c>
      <c r="C22" s="8">
        <v>48096</v>
      </c>
      <c r="D22" s="8">
        <v>11063</v>
      </c>
      <c r="E22" s="11">
        <v>23</v>
      </c>
      <c r="F22" s="11">
        <v>70.40000000000001</v>
      </c>
      <c r="G22" s="11">
        <v>65.59999999999999</v>
      </c>
    </row>
    <row r="23" spans="2:7">
      <c r="B23" s="7">
        <v>17</v>
      </c>
      <c r="C23" s="8">
        <v>36117</v>
      </c>
      <c r="D23" s="8">
        <v>8778</v>
      </c>
      <c r="E23" s="11">
        <v>24.3</v>
      </c>
      <c r="F23" s="11">
        <v>69.7</v>
      </c>
      <c r="G23" s="11">
        <v>65.09999999999999</v>
      </c>
    </row>
    <row r="24" spans="2:7">
      <c r="B24" s="7">
        <v>18</v>
      </c>
      <c r="C24" s="8">
        <v>23919</v>
      </c>
      <c r="D24" s="8">
        <v>6292</v>
      </c>
      <c r="E24" s="11">
        <v>26.3</v>
      </c>
      <c r="F24" s="11">
        <v>68.59999999999999</v>
      </c>
      <c r="G24" s="11">
        <v>64.59999999999999</v>
      </c>
    </row>
    <row r="25" spans="2:7">
      <c r="B25" s="7">
        <v>19</v>
      </c>
      <c r="C25" s="8">
        <v>11902</v>
      </c>
      <c r="D25" s="8">
        <v>3429</v>
      </c>
      <c r="E25" s="11">
        <v>28.8</v>
      </c>
      <c r="F25" s="11">
        <v>67.7</v>
      </c>
      <c r="G25" s="11">
        <v>64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B2:I24"/>
  <sheetViews>
    <sheetView showGridLines="0" workbookViewId="0"/>
  </sheetViews>
  <sheetFormatPr defaultRowHeight="15"/>
  <cols>
    <col min="1" max="1" width="2.7109375" customWidth="1"/>
    <col min="2" max="2" width="18.7109375" customWidth="1"/>
    <col min="3" max="3" width="24.7109375" customWidth="1"/>
    <col min="4" max="4" width="58.7109375" customWidth="1"/>
    <col min="5" max="5" width="14.7109375" customWidth="1"/>
    <col min="8" max="8" width="26.7109375" customWidth="1"/>
    <col min="9" max="9" width="12.7109375" customWidth="1"/>
  </cols>
  <sheetData>
    <row r="2" spans="2:9">
      <c r="B2" s="1" t="s">
        <v>96</v>
      </c>
    </row>
    <row r="3" spans="2:9">
      <c r="B3" s="2" t="s">
        <v>97</v>
      </c>
    </row>
    <row r="6" spans="2:9" ht="30" customHeight="1">
      <c r="B6" s="6" t="s">
        <v>98</v>
      </c>
      <c r="C6" s="6" t="s">
        <v>99</v>
      </c>
      <c r="D6" s="6" t="s">
        <v>100</v>
      </c>
      <c r="E6" s="6" t="s">
        <v>101</v>
      </c>
      <c r="H6" s="6" t="s">
        <v>130</v>
      </c>
      <c r="I6" s="6" t="s">
        <v>17</v>
      </c>
    </row>
    <row r="7" spans="2:9">
      <c r="B7" s="7" t="s">
        <v>102</v>
      </c>
      <c r="C7" s="7" t="s">
        <v>103</v>
      </c>
      <c r="D7" s="7" t="s">
        <v>104</v>
      </c>
      <c r="E7" s="8">
        <v>63115</v>
      </c>
      <c r="H7" s="7" t="s">
        <v>108</v>
      </c>
      <c r="I7" s="8">
        <v>41693</v>
      </c>
    </row>
    <row r="8" spans="2:9">
      <c r="B8" s="7" t="s">
        <v>102</v>
      </c>
      <c r="C8" s="7" t="s">
        <v>105</v>
      </c>
      <c r="D8" s="7" t="s">
        <v>106</v>
      </c>
      <c r="E8" s="8">
        <v>50123</v>
      </c>
      <c r="H8" s="7" t="s">
        <v>124</v>
      </c>
      <c r="I8" s="8">
        <v>3855</v>
      </c>
    </row>
    <row r="9" spans="2:9">
      <c r="B9" s="7" t="s">
        <v>107</v>
      </c>
      <c r="C9" s="7" t="s">
        <v>108</v>
      </c>
      <c r="D9" s="7" t="s">
        <v>109</v>
      </c>
      <c r="E9" s="8">
        <v>41693</v>
      </c>
      <c r="H9" s="7" t="s">
        <v>131</v>
      </c>
      <c r="I9" s="8">
        <v>37440</v>
      </c>
    </row>
    <row r="10" spans="2:9">
      <c r="B10" s="7" t="s">
        <v>110</v>
      </c>
      <c r="C10" s="7" t="s">
        <v>111</v>
      </c>
      <c r="D10" s="7" t="s">
        <v>112</v>
      </c>
      <c r="E10" s="8">
        <v>39931</v>
      </c>
      <c r="H10" s="7" t="s">
        <v>116</v>
      </c>
      <c r="I10" s="8">
        <v>28856</v>
      </c>
    </row>
    <row r="11" spans="2:9">
      <c r="B11" s="7" t="s">
        <v>113</v>
      </c>
      <c r="C11" s="7" t="s">
        <v>114</v>
      </c>
      <c r="D11" s="7" t="s">
        <v>115</v>
      </c>
      <c r="E11" s="8">
        <v>29852</v>
      </c>
      <c r="H11" s="7" t="s">
        <v>132</v>
      </c>
      <c r="I11" s="8">
        <v>167661</v>
      </c>
    </row>
    <row r="12" spans="2:9">
      <c r="B12" s="7" t="s">
        <v>102</v>
      </c>
      <c r="C12" s="7" t="s">
        <v>116</v>
      </c>
      <c r="D12" s="7" t="s">
        <v>117</v>
      </c>
      <c r="E12" s="8">
        <v>28052</v>
      </c>
      <c r="H12" s="7" t="s">
        <v>133</v>
      </c>
      <c r="I12" s="8">
        <v>26430</v>
      </c>
    </row>
    <row r="13" spans="2:9">
      <c r="B13" s="7" t="s">
        <v>113</v>
      </c>
      <c r="C13" s="7" t="s">
        <v>118</v>
      </c>
      <c r="D13" s="7" t="s">
        <v>119</v>
      </c>
      <c r="E13" s="8">
        <v>15842</v>
      </c>
      <c r="H13" s="7" t="s">
        <v>134</v>
      </c>
      <c r="I13" s="8">
        <v>77215</v>
      </c>
    </row>
    <row r="14" spans="2:9">
      <c r="B14" s="7" t="s">
        <v>102</v>
      </c>
      <c r="C14" s="7" t="s">
        <v>118</v>
      </c>
      <c r="D14" s="7" t="s">
        <v>119</v>
      </c>
      <c r="E14" s="8">
        <v>12074</v>
      </c>
      <c r="H14" s="7" t="s">
        <v>135</v>
      </c>
      <c r="I14" s="8">
        <v>60261</v>
      </c>
    </row>
    <row r="15" spans="2:9">
      <c r="B15" s="7" t="s">
        <v>120</v>
      </c>
      <c r="C15" s="7" t="s">
        <v>121</v>
      </c>
      <c r="D15" s="7" t="s">
        <v>122</v>
      </c>
      <c r="E15" s="8">
        <v>3046</v>
      </c>
      <c r="H15" s="7" t="s">
        <v>121</v>
      </c>
      <c r="I15" s="8">
        <v>5093</v>
      </c>
    </row>
    <row r="16" spans="2:9">
      <c r="B16" s="7" t="s">
        <v>123</v>
      </c>
      <c r="C16" s="7" t="s">
        <v>124</v>
      </c>
      <c r="D16" s="7" t="s">
        <v>125</v>
      </c>
      <c r="E16" s="8">
        <v>2912</v>
      </c>
      <c r="H16" s="7" t="s">
        <v>114</v>
      </c>
      <c r="I16" s="8">
        <v>144685</v>
      </c>
    </row>
    <row r="17" spans="2:9">
      <c r="B17" s="7" t="s">
        <v>126</v>
      </c>
      <c r="C17" s="7" t="s">
        <v>127</v>
      </c>
      <c r="D17" s="7" t="s">
        <v>128</v>
      </c>
      <c r="E17" s="8">
        <v>824</v>
      </c>
      <c r="H17" s="7" t="s">
        <v>136</v>
      </c>
      <c r="I17" s="8">
        <v>216506</v>
      </c>
    </row>
    <row r="18" spans="2:9">
      <c r="B18" s="7" t="s">
        <v>129</v>
      </c>
      <c r="C18" s="7" t="s">
        <v>114</v>
      </c>
      <c r="D18" s="7" t="s">
        <v>115</v>
      </c>
      <c r="E18" s="8">
        <v>9</v>
      </c>
      <c r="H18" s="7" t="s">
        <v>137</v>
      </c>
      <c r="I18" s="8">
        <v>143584</v>
      </c>
    </row>
    <row r="19" spans="2:9">
      <c r="H19" s="7" t="s">
        <v>138</v>
      </c>
      <c r="I19" s="8">
        <v>1359</v>
      </c>
    </row>
    <row r="20" spans="2:9">
      <c r="H20" s="7" t="s">
        <v>139</v>
      </c>
      <c r="I20" s="8">
        <v>2464</v>
      </c>
    </row>
    <row r="21" spans="2:9">
      <c r="H21" s="7" t="s">
        <v>140</v>
      </c>
      <c r="I21" s="8">
        <v>1584379</v>
      </c>
    </row>
    <row r="22" spans="2:9">
      <c r="H22" s="7" t="s">
        <v>141</v>
      </c>
      <c r="I22" s="8">
        <v>132094</v>
      </c>
    </row>
    <row r="23" spans="2:9">
      <c r="H23" s="7" t="s">
        <v>142</v>
      </c>
      <c r="I23" s="8">
        <v>96141</v>
      </c>
    </row>
    <row r="24" spans="2:9">
      <c r="H24" s="7" t="s">
        <v>143</v>
      </c>
      <c r="I24" s="8">
        <v>121167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B2:J95"/>
  <sheetViews>
    <sheetView showGridLines="0" workbookViewId="0"/>
  </sheetViews>
  <sheetFormatPr defaultRowHeight="15"/>
  <cols>
    <col min="1" max="1" width="2.7109375" customWidth="1"/>
    <col min="2" max="2" width="52.7109375" customWidth="1"/>
    <col min="3" max="3" width="24.7109375" customWidth="1"/>
    <col min="4" max="4" width="16.7109375" customWidth="1"/>
    <col min="5" max="5" width="14.7109375" customWidth="1"/>
    <col min="6" max="6" width="17.7109375" customWidth="1"/>
    <col min="7" max="7" width="16.7109375" customWidth="1"/>
    <col min="8" max="8" width="21.7109375" customWidth="1"/>
    <col min="9" max="9" width="15.7109375" customWidth="1"/>
    <col min="10" max="10" width="21.7109375" customWidth="1"/>
  </cols>
  <sheetData>
    <row r="2" spans="2:10">
      <c r="B2" s="1" t="s">
        <v>144</v>
      </c>
    </row>
    <row r="3" spans="2:10">
      <c r="B3" s="2" t="s">
        <v>145</v>
      </c>
    </row>
    <row r="6" spans="2:10" ht="30" customHeight="1">
      <c r="B6" s="6" t="s">
        <v>48</v>
      </c>
      <c r="C6" s="6" t="s">
        <v>49</v>
      </c>
      <c r="D6" s="6" t="s">
        <v>50</v>
      </c>
      <c r="E6" s="6" t="s">
        <v>146</v>
      </c>
      <c r="F6" s="6" t="s">
        <v>147</v>
      </c>
      <c r="G6" s="6" t="s">
        <v>148</v>
      </c>
      <c r="H6" s="6" t="s">
        <v>51</v>
      </c>
      <c r="I6" s="6" t="s">
        <v>149</v>
      </c>
      <c r="J6" s="6" t="s">
        <v>150</v>
      </c>
    </row>
    <row r="7" spans="2:10">
      <c r="B7" s="7" t="s">
        <v>151</v>
      </c>
      <c r="C7" s="7" t="s">
        <v>152</v>
      </c>
      <c r="D7" s="7" t="s">
        <v>55</v>
      </c>
      <c r="E7" s="7" t="s">
        <v>153</v>
      </c>
      <c r="F7" s="8">
        <v>1</v>
      </c>
      <c r="G7" s="7" t="s">
        <v>154</v>
      </c>
      <c r="H7" s="10"/>
      <c r="I7" s="7" t="s">
        <v>155</v>
      </c>
      <c r="J7" s="8">
        <v>0</v>
      </c>
    </row>
    <row r="8" spans="2:10">
      <c r="B8" s="7" t="s">
        <v>68</v>
      </c>
      <c r="C8" s="7" t="s">
        <v>60</v>
      </c>
      <c r="D8" s="7" t="s">
        <v>55</v>
      </c>
      <c r="E8" s="7" t="s">
        <v>153</v>
      </c>
      <c r="F8" s="8">
        <v>7</v>
      </c>
      <c r="G8" s="7" t="s">
        <v>156</v>
      </c>
      <c r="H8" s="10">
        <v>27000</v>
      </c>
      <c r="I8" s="7" t="s">
        <v>157</v>
      </c>
      <c r="J8" s="8">
        <v>1</v>
      </c>
    </row>
    <row r="9" spans="2:10">
      <c r="B9" s="7" t="s">
        <v>158</v>
      </c>
      <c r="C9" s="7" t="s">
        <v>159</v>
      </c>
      <c r="D9" s="7" t="s">
        <v>55</v>
      </c>
      <c r="E9" s="7" t="s">
        <v>153</v>
      </c>
      <c r="F9" s="8">
        <v>2</v>
      </c>
      <c r="G9" s="7" t="s">
        <v>156</v>
      </c>
      <c r="H9" s="10">
        <v>1900</v>
      </c>
      <c r="I9" s="7" t="s">
        <v>157</v>
      </c>
      <c r="J9" s="8">
        <v>0</v>
      </c>
    </row>
    <row r="10" spans="2:10">
      <c r="B10" s="7" t="s">
        <v>160</v>
      </c>
      <c r="C10" s="7" t="s">
        <v>159</v>
      </c>
      <c r="D10" s="7" t="s">
        <v>55</v>
      </c>
      <c r="E10" s="7" t="s">
        <v>153</v>
      </c>
      <c r="F10" s="8">
        <v>2</v>
      </c>
      <c r="G10" s="7" t="s">
        <v>156</v>
      </c>
      <c r="H10" s="10">
        <v>1900</v>
      </c>
      <c r="I10" s="7" t="s">
        <v>157</v>
      </c>
      <c r="J10" s="8">
        <v>0</v>
      </c>
    </row>
    <row r="11" spans="2:10">
      <c r="B11" s="7" t="s">
        <v>161</v>
      </c>
      <c r="C11" s="7" t="s">
        <v>159</v>
      </c>
      <c r="D11" s="7" t="s">
        <v>55</v>
      </c>
      <c r="E11" s="7" t="s">
        <v>153</v>
      </c>
      <c r="F11" s="8">
        <v>1</v>
      </c>
      <c r="G11" s="7" t="s">
        <v>156</v>
      </c>
      <c r="H11" s="10">
        <v>1900</v>
      </c>
      <c r="I11" s="7" t="s">
        <v>157</v>
      </c>
      <c r="J11" s="8">
        <v>0</v>
      </c>
    </row>
    <row r="12" spans="2:10">
      <c r="B12" s="7" t="s">
        <v>162</v>
      </c>
      <c r="C12" s="7" t="s">
        <v>159</v>
      </c>
      <c r="D12" s="7" t="s">
        <v>55</v>
      </c>
      <c r="E12" s="7" t="s">
        <v>153</v>
      </c>
      <c r="F12" s="8">
        <v>2</v>
      </c>
      <c r="G12" s="7" t="s">
        <v>156</v>
      </c>
      <c r="H12" s="10">
        <v>1900</v>
      </c>
      <c r="I12" s="7" t="s">
        <v>157</v>
      </c>
      <c r="J12" s="8">
        <v>0</v>
      </c>
    </row>
    <row r="13" spans="2:10">
      <c r="B13" s="7" t="s">
        <v>163</v>
      </c>
      <c r="C13" s="7" t="s">
        <v>159</v>
      </c>
      <c r="D13" s="7" t="s">
        <v>55</v>
      </c>
      <c r="E13" s="7" t="s">
        <v>153</v>
      </c>
      <c r="F13" s="8">
        <v>2</v>
      </c>
      <c r="G13" s="7" t="s">
        <v>156</v>
      </c>
      <c r="H13" s="10">
        <v>1900</v>
      </c>
      <c r="I13" s="7" t="s">
        <v>157</v>
      </c>
      <c r="J13" s="8">
        <v>0</v>
      </c>
    </row>
    <row r="14" spans="2:10">
      <c r="B14" s="7" t="s">
        <v>164</v>
      </c>
      <c r="C14" s="7" t="s">
        <v>159</v>
      </c>
      <c r="D14" s="7" t="s">
        <v>55</v>
      </c>
      <c r="E14" s="7" t="s">
        <v>153</v>
      </c>
      <c r="F14" s="8">
        <v>2</v>
      </c>
      <c r="G14" s="7" t="s">
        <v>156</v>
      </c>
      <c r="H14" s="10">
        <v>1900</v>
      </c>
      <c r="I14" s="7" t="s">
        <v>157</v>
      </c>
      <c r="J14" s="8">
        <v>0</v>
      </c>
    </row>
    <row r="15" spans="2:10">
      <c r="B15" s="7" t="s">
        <v>165</v>
      </c>
      <c r="C15" s="7" t="s">
        <v>159</v>
      </c>
      <c r="D15" s="7" t="s">
        <v>55</v>
      </c>
      <c r="E15" s="7" t="s">
        <v>153</v>
      </c>
      <c r="F15" s="8">
        <v>2</v>
      </c>
      <c r="G15" s="7" t="s">
        <v>156</v>
      </c>
      <c r="H15" s="10">
        <v>1900</v>
      </c>
      <c r="I15" s="7" t="s">
        <v>157</v>
      </c>
      <c r="J15" s="8">
        <v>0</v>
      </c>
    </row>
    <row r="16" spans="2:10">
      <c r="B16" s="7" t="s">
        <v>166</v>
      </c>
      <c r="C16" s="7" t="s">
        <v>54</v>
      </c>
      <c r="D16" s="7" t="s">
        <v>55</v>
      </c>
      <c r="E16" s="7" t="s">
        <v>153</v>
      </c>
      <c r="F16" s="8">
        <v>13</v>
      </c>
      <c r="G16" s="7" t="s">
        <v>156</v>
      </c>
      <c r="H16" s="10">
        <v>13500</v>
      </c>
      <c r="I16" s="7" t="s">
        <v>157</v>
      </c>
      <c r="J16" s="8">
        <v>0</v>
      </c>
    </row>
    <row r="17" spans="2:10">
      <c r="B17" s="7" t="s">
        <v>167</v>
      </c>
      <c r="C17" s="7" t="s">
        <v>168</v>
      </c>
      <c r="D17" s="7" t="s">
        <v>63</v>
      </c>
      <c r="E17" s="7" t="s">
        <v>153</v>
      </c>
      <c r="F17" s="8">
        <v>1</v>
      </c>
      <c r="G17" s="7" t="s">
        <v>154</v>
      </c>
      <c r="H17" s="10"/>
      <c r="I17" s="7" t="s">
        <v>155</v>
      </c>
      <c r="J17" s="8">
        <v>0</v>
      </c>
    </row>
    <row r="18" spans="2:10">
      <c r="B18" s="7" t="s">
        <v>169</v>
      </c>
      <c r="C18" s="7" t="s">
        <v>168</v>
      </c>
      <c r="D18" s="7" t="s">
        <v>63</v>
      </c>
      <c r="E18" s="7" t="s">
        <v>153</v>
      </c>
      <c r="F18" s="8">
        <v>1</v>
      </c>
      <c r="G18" s="7" t="s">
        <v>154</v>
      </c>
      <c r="H18" s="10"/>
      <c r="I18" s="7" t="s">
        <v>155</v>
      </c>
      <c r="J18" s="8">
        <v>0</v>
      </c>
    </row>
    <row r="19" spans="2:10">
      <c r="B19" s="7" t="s">
        <v>170</v>
      </c>
      <c r="C19" s="7" t="s">
        <v>168</v>
      </c>
      <c r="D19" s="7" t="s">
        <v>63</v>
      </c>
      <c r="E19" s="7" t="s">
        <v>153</v>
      </c>
      <c r="F19" s="8">
        <v>1</v>
      </c>
      <c r="G19" s="7" t="s">
        <v>154</v>
      </c>
      <c r="H19" s="10"/>
      <c r="I19" s="7" t="s">
        <v>155</v>
      </c>
      <c r="J19" s="8">
        <v>0</v>
      </c>
    </row>
    <row r="20" spans="2:10">
      <c r="B20" s="7" t="s">
        <v>171</v>
      </c>
      <c r="C20" s="7" t="s">
        <v>54</v>
      </c>
      <c r="D20" s="7" t="s">
        <v>55</v>
      </c>
      <c r="E20" s="7" t="s">
        <v>153</v>
      </c>
      <c r="F20" s="8">
        <v>11</v>
      </c>
      <c r="G20" s="7" t="s">
        <v>156</v>
      </c>
      <c r="H20" s="10">
        <v>13500</v>
      </c>
      <c r="I20" s="7" t="s">
        <v>157</v>
      </c>
      <c r="J20" s="8">
        <v>0</v>
      </c>
    </row>
    <row r="21" spans="2:10">
      <c r="B21" s="7" t="s">
        <v>172</v>
      </c>
      <c r="C21" s="7" t="s">
        <v>65</v>
      </c>
      <c r="D21" s="7" t="s">
        <v>55</v>
      </c>
      <c r="E21" s="7" t="s">
        <v>153</v>
      </c>
      <c r="F21" s="8"/>
      <c r="G21" s="7"/>
      <c r="H21" s="10"/>
      <c r="I21" s="7" t="s">
        <v>173</v>
      </c>
      <c r="J21" s="8">
        <v>0</v>
      </c>
    </row>
    <row r="22" spans="2:10">
      <c r="B22" s="7" t="s">
        <v>172</v>
      </c>
      <c r="C22" s="7" t="s">
        <v>65</v>
      </c>
      <c r="D22" s="7" t="s">
        <v>63</v>
      </c>
      <c r="E22" s="7" t="s">
        <v>153</v>
      </c>
      <c r="F22" s="8">
        <v>1</v>
      </c>
      <c r="G22" s="7" t="s">
        <v>154</v>
      </c>
      <c r="H22" s="10"/>
      <c r="I22" s="7" t="s">
        <v>155</v>
      </c>
      <c r="J22" s="8">
        <v>0</v>
      </c>
    </row>
    <row r="23" spans="2:10">
      <c r="B23" s="7" t="s">
        <v>174</v>
      </c>
      <c r="C23" s="7" t="s">
        <v>175</v>
      </c>
      <c r="D23" s="7" t="s">
        <v>63</v>
      </c>
      <c r="E23" s="7" t="s">
        <v>153</v>
      </c>
      <c r="F23" s="8">
        <v>3</v>
      </c>
      <c r="G23" s="7" t="s">
        <v>154</v>
      </c>
      <c r="H23" s="10"/>
      <c r="I23" s="7" t="s">
        <v>155</v>
      </c>
      <c r="J23" s="8">
        <v>0</v>
      </c>
    </row>
    <row r="24" spans="2:10">
      <c r="B24" s="7" t="s">
        <v>176</v>
      </c>
      <c r="C24" s="7" t="s">
        <v>175</v>
      </c>
      <c r="D24" s="7" t="s">
        <v>63</v>
      </c>
      <c r="E24" s="7" t="s">
        <v>153</v>
      </c>
      <c r="F24" s="8">
        <v>3</v>
      </c>
      <c r="G24" s="7" t="s">
        <v>154</v>
      </c>
      <c r="H24" s="10"/>
      <c r="I24" s="7" t="s">
        <v>155</v>
      </c>
      <c r="J24" s="8">
        <v>0</v>
      </c>
    </row>
    <row r="25" spans="2:10">
      <c r="B25" s="7" t="s">
        <v>177</v>
      </c>
      <c r="C25" s="7" t="s">
        <v>175</v>
      </c>
      <c r="D25" s="7" t="s">
        <v>55</v>
      </c>
      <c r="E25" s="7" t="s">
        <v>153</v>
      </c>
      <c r="F25" s="8"/>
      <c r="G25" s="7"/>
      <c r="H25" s="10"/>
      <c r="I25" s="7" t="s">
        <v>173</v>
      </c>
      <c r="J25" s="8">
        <v>0</v>
      </c>
    </row>
    <row r="26" spans="2:10">
      <c r="B26" s="7" t="s">
        <v>178</v>
      </c>
      <c r="C26" s="7" t="s">
        <v>175</v>
      </c>
      <c r="D26" s="7" t="s">
        <v>55</v>
      </c>
      <c r="E26" s="7" t="s">
        <v>153</v>
      </c>
      <c r="F26" s="8">
        <v>3</v>
      </c>
      <c r="G26" s="7" t="s">
        <v>154</v>
      </c>
      <c r="H26" s="10"/>
      <c r="I26" s="7" t="s">
        <v>173</v>
      </c>
      <c r="J26" s="8">
        <v>0</v>
      </c>
    </row>
    <row r="27" spans="2:10">
      <c r="B27" s="7" t="s">
        <v>178</v>
      </c>
      <c r="C27" s="7" t="s">
        <v>175</v>
      </c>
      <c r="D27" s="7" t="s">
        <v>63</v>
      </c>
      <c r="E27" s="7" t="s">
        <v>153</v>
      </c>
      <c r="F27" s="8">
        <v>3</v>
      </c>
      <c r="G27" s="7" t="s">
        <v>154</v>
      </c>
      <c r="H27" s="10"/>
      <c r="I27" s="7" t="s">
        <v>155</v>
      </c>
      <c r="J27" s="8">
        <v>0</v>
      </c>
    </row>
    <row r="28" spans="2:10">
      <c r="B28" s="7" t="s">
        <v>72</v>
      </c>
      <c r="C28" s="7" t="s">
        <v>60</v>
      </c>
      <c r="D28" s="7" t="s">
        <v>55</v>
      </c>
      <c r="E28" s="7" t="s">
        <v>153</v>
      </c>
      <c r="F28" s="8">
        <v>7</v>
      </c>
      <c r="G28" s="7" t="s">
        <v>156</v>
      </c>
      <c r="H28" s="10">
        <v>27000</v>
      </c>
      <c r="I28" s="7" t="s">
        <v>157</v>
      </c>
      <c r="J28" s="8">
        <v>1</v>
      </c>
    </row>
    <row r="29" spans="2:10">
      <c r="B29" s="7" t="s">
        <v>83</v>
      </c>
      <c r="C29" s="7" t="s">
        <v>54</v>
      </c>
      <c r="D29" s="7" t="s">
        <v>55</v>
      </c>
      <c r="E29" s="7" t="s">
        <v>153</v>
      </c>
      <c r="F29" s="8">
        <v>14</v>
      </c>
      <c r="G29" s="7" t="s">
        <v>156</v>
      </c>
      <c r="H29" s="10">
        <v>14900</v>
      </c>
      <c r="I29" s="7" t="s">
        <v>157</v>
      </c>
      <c r="J29" s="8">
        <v>1</v>
      </c>
    </row>
    <row r="30" spans="2:10">
      <c r="B30" s="7" t="s">
        <v>53</v>
      </c>
      <c r="C30" s="7" t="s">
        <v>54</v>
      </c>
      <c r="D30" s="7" t="s">
        <v>55</v>
      </c>
      <c r="E30" s="7" t="s">
        <v>153</v>
      </c>
      <c r="F30" s="8">
        <v>11</v>
      </c>
      <c r="G30" s="7" t="s">
        <v>156</v>
      </c>
      <c r="H30" s="10">
        <v>13500</v>
      </c>
      <c r="I30" s="7" t="s">
        <v>157</v>
      </c>
      <c r="J30" s="8">
        <v>1</v>
      </c>
    </row>
    <row r="31" spans="2:10">
      <c r="B31" s="7" t="s">
        <v>179</v>
      </c>
      <c r="C31" s="7" t="s">
        <v>54</v>
      </c>
      <c r="D31" s="7" t="s">
        <v>55</v>
      </c>
      <c r="E31" s="7" t="s">
        <v>153</v>
      </c>
      <c r="F31" s="8">
        <v>7</v>
      </c>
      <c r="G31" s="7" t="s">
        <v>156</v>
      </c>
      <c r="H31" s="10">
        <v>4900</v>
      </c>
      <c r="I31" s="7" t="s">
        <v>157</v>
      </c>
      <c r="J31" s="8">
        <v>1</v>
      </c>
    </row>
    <row r="32" spans="2:10">
      <c r="B32" s="7" t="s">
        <v>70</v>
      </c>
      <c r="C32" s="7" t="s">
        <v>54</v>
      </c>
      <c r="D32" s="7" t="s">
        <v>55</v>
      </c>
      <c r="E32" s="7" t="s">
        <v>153</v>
      </c>
      <c r="F32" s="8">
        <v>11</v>
      </c>
      <c r="G32" s="7" t="s">
        <v>156</v>
      </c>
      <c r="H32" s="10">
        <v>13500</v>
      </c>
      <c r="I32" s="7" t="s">
        <v>157</v>
      </c>
      <c r="J32" s="8">
        <v>1</v>
      </c>
    </row>
    <row r="33" spans="2:10">
      <c r="B33" s="7" t="s">
        <v>180</v>
      </c>
      <c r="C33" s="7" t="s">
        <v>54</v>
      </c>
      <c r="D33" s="7" t="s">
        <v>55</v>
      </c>
      <c r="E33" s="7" t="s">
        <v>153</v>
      </c>
      <c r="F33" s="8">
        <v>7</v>
      </c>
      <c r="G33" s="7" t="s">
        <v>156</v>
      </c>
      <c r="H33" s="10">
        <v>4900</v>
      </c>
      <c r="I33" s="7" t="s">
        <v>157</v>
      </c>
      <c r="J33" s="8">
        <v>0</v>
      </c>
    </row>
    <row r="34" spans="2:10">
      <c r="B34" s="7" t="s">
        <v>67</v>
      </c>
      <c r="C34" s="7" t="s">
        <v>54</v>
      </c>
      <c r="D34" s="7" t="s">
        <v>55</v>
      </c>
      <c r="E34" s="7" t="s">
        <v>153</v>
      </c>
      <c r="F34" s="8">
        <v>11</v>
      </c>
      <c r="G34" s="7" t="s">
        <v>156</v>
      </c>
      <c r="H34" s="10">
        <v>13500</v>
      </c>
      <c r="I34" s="7" t="s">
        <v>157</v>
      </c>
      <c r="J34" s="8">
        <v>1</v>
      </c>
    </row>
    <row r="35" spans="2:10">
      <c r="B35" s="7" t="s">
        <v>181</v>
      </c>
      <c r="C35" s="7" t="s">
        <v>54</v>
      </c>
      <c r="D35" s="7" t="s">
        <v>55</v>
      </c>
      <c r="E35" s="7" t="s">
        <v>153</v>
      </c>
      <c r="F35" s="8">
        <v>11</v>
      </c>
      <c r="G35" s="7" t="s">
        <v>156</v>
      </c>
      <c r="H35" s="10">
        <v>13500</v>
      </c>
      <c r="I35" s="7" t="s">
        <v>157</v>
      </c>
      <c r="J35" s="8">
        <v>1</v>
      </c>
    </row>
    <row r="36" spans="2:10">
      <c r="B36" s="7" t="s">
        <v>69</v>
      </c>
      <c r="C36" s="7" t="s">
        <v>54</v>
      </c>
      <c r="D36" s="7" t="s">
        <v>55</v>
      </c>
      <c r="E36" s="7" t="s">
        <v>153</v>
      </c>
      <c r="F36" s="8">
        <v>12</v>
      </c>
      <c r="G36" s="7" t="s">
        <v>156</v>
      </c>
      <c r="H36" s="10">
        <v>16500</v>
      </c>
      <c r="I36" s="7" t="s">
        <v>157</v>
      </c>
      <c r="J36" s="8">
        <v>1</v>
      </c>
    </row>
    <row r="37" spans="2:10">
      <c r="B37" s="7" t="s">
        <v>182</v>
      </c>
      <c r="C37" s="7" t="s">
        <v>54</v>
      </c>
      <c r="D37" s="7" t="s">
        <v>55</v>
      </c>
      <c r="E37" s="7" t="s">
        <v>153</v>
      </c>
      <c r="F37" s="8">
        <v>10</v>
      </c>
      <c r="G37" s="7" t="s">
        <v>156</v>
      </c>
      <c r="H37" s="10">
        <v>13500</v>
      </c>
      <c r="I37" s="7" t="s">
        <v>157</v>
      </c>
      <c r="J37" s="8">
        <v>1</v>
      </c>
    </row>
    <row r="38" spans="2:10">
      <c r="B38" s="7" t="s">
        <v>183</v>
      </c>
      <c r="C38" s="7" t="s">
        <v>152</v>
      </c>
      <c r="D38" s="7" t="s">
        <v>55</v>
      </c>
      <c r="E38" s="7" t="s">
        <v>153</v>
      </c>
      <c r="F38" s="8">
        <v>1</v>
      </c>
      <c r="G38" s="7" t="s">
        <v>154</v>
      </c>
      <c r="H38" s="10"/>
      <c r="I38" s="7" t="s">
        <v>155</v>
      </c>
      <c r="J38" s="8">
        <v>0</v>
      </c>
    </row>
    <row r="39" spans="2:10">
      <c r="B39" s="7" t="s">
        <v>73</v>
      </c>
      <c r="C39" s="7" t="s">
        <v>54</v>
      </c>
      <c r="D39" s="7" t="s">
        <v>55</v>
      </c>
      <c r="E39" s="7" t="s">
        <v>153</v>
      </c>
      <c r="F39" s="8">
        <v>11</v>
      </c>
      <c r="G39" s="7" t="s">
        <v>156</v>
      </c>
      <c r="H39" s="10"/>
      <c r="I39" s="7" t="s">
        <v>173</v>
      </c>
      <c r="J39" s="8">
        <v>1</v>
      </c>
    </row>
    <row r="40" spans="2:10">
      <c r="B40" s="7" t="s">
        <v>81</v>
      </c>
      <c r="C40" s="7" t="s">
        <v>54</v>
      </c>
      <c r="D40" s="7" t="s">
        <v>55</v>
      </c>
      <c r="E40" s="7" t="s">
        <v>153</v>
      </c>
      <c r="F40" s="8">
        <v>13</v>
      </c>
      <c r="G40" s="7" t="s">
        <v>156</v>
      </c>
      <c r="H40" s="10">
        <v>14900</v>
      </c>
      <c r="I40" s="7" t="s">
        <v>157</v>
      </c>
      <c r="J40" s="8">
        <v>1</v>
      </c>
    </row>
    <row r="41" spans="2:10">
      <c r="B41" s="7" t="s">
        <v>184</v>
      </c>
      <c r="C41" s="7" t="s">
        <v>54</v>
      </c>
      <c r="D41" s="7" t="s">
        <v>55</v>
      </c>
      <c r="E41" s="7" t="s">
        <v>153</v>
      </c>
      <c r="F41" s="8">
        <v>10</v>
      </c>
      <c r="G41" s="7" t="s">
        <v>156</v>
      </c>
      <c r="H41" s="10">
        <v>16500</v>
      </c>
      <c r="I41" s="7" t="s">
        <v>157</v>
      </c>
      <c r="J41" s="8">
        <v>0</v>
      </c>
    </row>
    <row r="42" spans="2:10">
      <c r="B42" s="7" t="s">
        <v>86</v>
      </c>
      <c r="C42" s="7" t="s">
        <v>54</v>
      </c>
      <c r="D42" s="7" t="s">
        <v>55</v>
      </c>
      <c r="E42" s="7" t="s">
        <v>153</v>
      </c>
      <c r="F42" s="8">
        <v>16</v>
      </c>
      <c r="G42" s="7" t="s">
        <v>156</v>
      </c>
      <c r="H42" s="10"/>
      <c r="I42" s="7" t="s">
        <v>173</v>
      </c>
      <c r="J42" s="8">
        <v>1</v>
      </c>
    </row>
    <row r="43" spans="2:10">
      <c r="B43" s="7" t="s">
        <v>185</v>
      </c>
      <c r="C43" s="7" t="s">
        <v>54</v>
      </c>
      <c r="D43" s="7" t="s">
        <v>55</v>
      </c>
      <c r="E43" s="7" t="s">
        <v>153</v>
      </c>
      <c r="F43" s="8">
        <v>11</v>
      </c>
      <c r="G43" s="7" t="s">
        <v>156</v>
      </c>
      <c r="H43" s="10">
        <v>16500</v>
      </c>
      <c r="I43" s="7" t="s">
        <v>157</v>
      </c>
      <c r="J43" s="8">
        <v>0</v>
      </c>
    </row>
    <row r="44" spans="2:10">
      <c r="B44" s="7" t="s">
        <v>186</v>
      </c>
      <c r="C44" s="7" t="s">
        <v>54</v>
      </c>
      <c r="D44" s="7" t="s">
        <v>55</v>
      </c>
      <c r="E44" s="7" t="s">
        <v>153</v>
      </c>
      <c r="F44" s="8">
        <v>11</v>
      </c>
      <c r="G44" s="7" t="s">
        <v>156</v>
      </c>
      <c r="H44" s="10">
        <v>13500</v>
      </c>
      <c r="I44" s="7" t="s">
        <v>157</v>
      </c>
      <c r="J44" s="8">
        <v>0</v>
      </c>
    </row>
    <row r="45" spans="2:10">
      <c r="B45" s="7" t="s">
        <v>57</v>
      </c>
      <c r="C45" s="7" t="s">
        <v>54</v>
      </c>
      <c r="D45" s="7" t="s">
        <v>55</v>
      </c>
      <c r="E45" s="7" t="s">
        <v>153</v>
      </c>
      <c r="F45" s="8">
        <v>16</v>
      </c>
      <c r="G45" s="7" t="s">
        <v>156</v>
      </c>
      <c r="H45" s="10">
        <v>16500</v>
      </c>
      <c r="I45" s="7" t="s">
        <v>157</v>
      </c>
      <c r="J45" s="8">
        <v>1</v>
      </c>
    </row>
    <row r="46" spans="2:10">
      <c r="B46" s="7" t="s">
        <v>56</v>
      </c>
      <c r="C46" s="7" t="s">
        <v>54</v>
      </c>
      <c r="D46" s="7" t="s">
        <v>55</v>
      </c>
      <c r="E46" s="7" t="s">
        <v>153</v>
      </c>
      <c r="F46" s="8">
        <v>15</v>
      </c>
      <c r="G46" s="7" t="s">
        <v>156</v>
      </c>
      <c r="H46" s="10">
        <v>16500</v>
      </c>
      <c r="I46" s="7" t="s">
        <v>157</v>
      </c>
      <c r="J46" s="8">
        <v>1</v>
      </c>
    </row>
    <row r="47" spans="2:10">
      <c r="B47" s="7" t="s">
        <v>76</v>
      </c>
      <c r="C47" s="7" t="s">
        <v>62</v>
      </c>
      <c r="D47" s="7" t="s">
        <v>63</v>
      </c>
      <c r="E47" s="7" t="s">
        <v>153</v>
      </c>
      <c r="F47" s="8">
        <v>1</v>
      </c>
      <c r="G47" s="7" t="s">
        <v>154</v>
      </c>
      <c r="H47" s="10"/>
      <c r="I47" s="7" t="s">
        <v>155</v>
      </c>
      <c r="J47" s="8">
        <v>1</v>
      </c>
    </row>
    <row r="48" spans="2:10">
      <c r="B48" s="7" t="s">
        <v>76</v>
      </c>
      <c r="C48" s="7" t="s">
        <v>62</v>
      </c>
      <c r="D48" s="7" t="s">
        <v>55</v>
      </c>
      <c r="E48" s="7" t="s">
        <v>153</v>
      </c>
      <c r="F48" s="8">
        <v>1</v>
      </c>
      <c r="G48" s="7" t="s">
        <v>154</v>
      </c>
      <c r="H48" s="10"/>
      <c r="I48" s="7" t="s">
        <v>155</v>
      </c>
      <c r="J48" s="8">
        <v>1</v>
      </c>
    </row>
    <row r="49" spans="2:10">
      <c r="B49" s="7" t="s">
        <v>187</v>
      </c>
      <c r="C49" s="7" t="s">
        <v>62</v>
      </c>
      <c r="D49" s="7" t="s">
        <v>63</v>
      </c>
      <c r="E49" s="7" t="s">
        <v>153</v>
      </c>
      <c r="F49" s="8">
        <v>1</v>
      </c>
      <c r="G49" s="7" t="s">
        <v>154</v>
      </c>
      <c r="H49" s="10"/>
      <c r="I49" s="7" t="s">
        <v>155</v>
      </c>
      <c r="J49" s="8">
        <v>0</v>
      </c>
    </row>
    <row r="50" spans="2:10">
      <c r="B50" s="7" t="s">
        <v>188</v>
      </c>
      <c r="C50" s="7" t="s">
        <v>62</v>
      </c>
      <c r="D50" s="7" t="s">
        <v>63</v>
      </c>
      <c r="E50" s="7" t="s">
        <v>153</v>
      </c>
      <c r="F50" s="8">
        <v>1</v>
      </c>
      <c r="G50" s="7" t="s">
        <v>154</v>
      </c>
      <c r="H50" s="10"/>
      <c r="I50" s="7" t="s">
        <v>155</v>
      </c>
      <c r="J50" s="8">
        <v>0</v>
      </c>
    </row>
    <row r="51" spans="2:10">
      <c r="B51" s="7" t="s">
        <v>61</v>
      </c>
      <c r="C51" s="7" t="s">
        <v>62</v>
      </c>
      <c r="D51" s="7" t="s">
        <v>63</v>
      </c>
      <c r="E51" s="7" t="s">
        <v>153</v>
      </c>
      <c r="F51" s="8">
        <v>1</v>
      </c>
      <c r="G51" s="7" t="s">
        <v>154</v>
      </c>
      <c r="H51" s="10"/>
      <c r="I51" s="7" t="s">
        <v>155</v>
      </c>
      <c r="J51" s="8">
        <v>1</v>
      </c>
    </row>
    <row r="52" spans="2:10">
      <c r="B52" s="7" t="s">
        <v>61</v>
      </c>
      <c r="C52" s="7" t="s">
        <v>62</v>
      </c>
      <c r="D52" s="7" t="s">
        <v>55</v>
      </c>
      <c r="E52" s="7" t="s">
        <v>153</v>
      </c>
      <c r="F52" s="8">
        <v>1</v>
      </c>
      <c r="G52" s="7" t="s">
        <v>154</v>
      </c>
      <c r="H52" s="10"/>
      <c r="I52" s="7" t="s">
        <v>155</v>
      </c>
      <c r="J52" s="8">
        <v>1</v>
      </c>
    </row>
    <row r="53" spans="2:10">
      <c r="B53" s="7" t="s">
        <v>84</v>
      </c>
      <c r="C53" s="7" t="s">
        <v>62</v>
      </c>
      <c r="D53" s="7" t="s">
        <v>55</v>
      </c>
      <c r="E53" s="7" t="s">
        <v>153</v>
      </c>
      <c r="F53" s="8">
        <v>1</v>
      </c>
      <c r="G53" s="7" t="s">
        <v>154</v>
      </c>
      <c r="H53" s="10"/>
      <c r="I53" s="7" t="s">
        <v>155</v>
      </c>
      <c r="J53" s="8">
        <v>1</v>
      </c>
    </row>
    <row r="54" spans="2:10">
      <c r="B54" s="7" t="s">
        <v>84</v>
      </c>
      <c r="C54" s="7" t="s">
        <v>62</v>
      </c>
      <c r="D54" s="7" t="s">
        <v>63</v>
      </c>
      <c r="E54" s="7" t="s">
        <v>153</v>
      </c>
      <c r="F54" s="8">
        <v>1</v>
      </c>
      <c r="G54" s="7" t="s">
        <v>154</v>
      </c>
      <c r="H54" s="10"/>
      <c r="I54" s="7" t="s">
        <v>155</v>
      </c>
      <c r="J54" s="8">
        <v>1</v>
      </c>
    </row>
    <row r="55" spans="2:10">
      <c r="B55" s="7" t="s">
        <v>189</v>
      </c>
      <c r="C55" s="7" t="s">
        <v>54</v>
      </c>
      <c r="D55" s="7" t="s">
        <v>55</v>
      </c>
      <c r="E55" s="7" t="s">
        <v>153</v>
      </c>
      <c r="F55" s="8">
        <v>12</v>
      </c>
      <c r="G55" s="7" t="s">
        <v>156</v>
      </c>
      <c r="H55" s="10">
        <v>13500</v>
      </c>
      <c r="I55" s="7" t="s">
        <v>157</v>
      </c>
      <c r="J55" s="8">
        <v>0</v>
      </c>
    </row>
    <row r="56" spans="2:10">
      <c r="B56" s="7" t="s">
        <v>190</v>
      </c>
      <c r="C56" s="7" t="s">
        <v>54</v>
      </c>
      <c r="D56" s="7" t="s">
        <v>55</v>
      </c>
      <c r="E56" s="7" t="s">
        <v>153</v>
      </c>
      <c r="F56" s="8">
        <v>11</v>
      </c>
      <c r="G56" s="7" t="s">
        <v>156</v>
      </c>
      <c r="H56" s="10">
        <v>16500</v>
      </c>
      <c r="I56" s="7" t="s">
        <v>157</v>
      </c>
      <c r="J56" s="8">
        <v>1</v>
      </c>
    </row>
    <row r="57" spans="2:10">
      <c r="B57" s="7" t="s">
        <v>59</v>
      </c>
      <c r="C57" s="7" t="s">
        <v>60</v>
      </c>
      <c r="D57" s="7" t="s">
        <v>55</v>
      </c>
      <c r="E57" s="7" t="s">
        <v>153</v>
      </c>
      <c r="F57" s="8">
        <v>6</v>
      </c>
      <c r="G57" s="7" t="s">
        <v>191</v>
      </c>
      <c r="H57" s="10">
        <v>36500</v>
      </c>
      <c r="I57" s="7" t="s">
        <v>157</v>
      </c>
      <c r="J57" s="8">
        <v>1</v>
      </c>
    </row>
    <row r="58" spans="2:10">
      <c r="B58" s="7" t="s">
        <v>192</v>
      </c>
      <c r="C58" s="7" t="s">
        <v>54</v>
      </c>
      <c r="D58" s="7" t="s">
        <v>55</v>
      </c>
      <c r="E58" s="7" t="s">
        <v>153</v>
      </c>
      <c r="F58" s="8">
        <v>11</v>
      </c>
      <c r="G58" s="7" t="s">
        <v>156</v>
      </c>
      <c r="H58" s="10">
        <v>13500</v>
      </c>
      <c r="I58" s="7" t="s">
        <v>157</v>
      </c>
      <c r="J58" s="8">
        <v>0</v>
      </c>
    </row>
    <row r="59" spans="2:10">
      <c r="B59" s="7" t="s">
        <v>75</v>
      </c>
      <c r="C59" s="7" t="s">
        <v>54</v>
      </c>
      <c r="D59" s="7" t="s">
        <v>55</v>
      </c>
      <c r="E59" s="7" t="s">
        <v>153</v>
      </c>
      <c r="F59" s="8">
        <v>6</v>
      </c>
      <c r="G59" s="7" t="s">
        <v>156</v>
      </c>
      <c r="H59" s="10">
        <v>9000</v>
      </c>
      <c r="I59" s="7" t="s">
        <v>157</v>
      </c>
      <c r="J59" s="8">
        <v>1</v>
      </c>
    </row>
    <row r="60" spans="2:10">
      <c r="B60" s="7" t="s">
        <v>82</v>
      </c>
      <c r="C60" s="7" t="s">
        <v>54</v>
      </c>
      <c r="D60" s="7" t="s">
        <v>55</v>
      </c>
      <c r="E60" s="7" t="s">
        <v>153</v>
      </c>
      <c r="F60" s="8">
        <v>10</v>
      </c>
      <c r="G60" s="7" t="s">
        <v>156</v>
      </c>
      <c r="H60" s="10">
        <v>13500</v>
      </c>
      <c r="I60" s="7" t="s">
        <v>157</v>
      </c>
      <c r="J60" s="8">
        <v>1</v>
      </c>
    </row>
    <row r="61" spans="2:10">
      <c r="B61" s="7" t="s">
        <v>193</v>
      </c>
      <c r="C61" s="7" t="s">
        <v>54</v>
      </c>
      <c r="D61" s="7" t="s">
        <v>55</v>
      </c>
      <c r="E61" s="7" t="s">
        <v>153</v>
      </c>
      <c r="F61" s="8">
        <v>6</v>
      </c>
      <c r="G61" s="7" t="s">
        <v>156</v>
      </c>
      <c r="H61" s="10">
        <v>6500</v>
      </c>
      <c r="I61" s="7" t="s">
        <v>157</v>
      </c>
      <c r="J61" s="8">
        <v>1</v>
      </c>
    </row>
    <row r="62" spans="2:10">
      <c r="B62" s="7" t="s">
        <v>194</v>
      </c>
      <c r="C62" s="7" t="s">
        <v>54</v>
      </c>
      <c r="D62" s="7" t="s">
        <v>55</v>
      </c>
      <c r="E62" s="7" t="s">
        <v>153</v>
      </c>
      <c r="F62" s="8">
        <v>11</v>
      </c>
      <c r="G62" s="7" t="s">
        <v>156</v>
      </c>
      <c r="H62" s="10">
        <v>13500</v>
      </c>
      <c r="I62" s="7" t="s">
        <v>157</v>
      </c>
      <c r="J62" s="8">
        <v>1</v>
      </c>
    </row>
    <row r="63" spans="2:10">
      <c r="B63" s="7" t="s">
        <v>195</v>
      </c>
      <c r="C63" s="7" t="s">
        <v>168</v>
      </c>
      <c r="D63" s="7" t="s">
        <v>55</v>
      </c>
      <c r="E63" s="7" t="s">
        <v>196</v>
      </c>
      <c r="F63" s="8">
        <v>2</v>
      </c>
      <c r="G63" s="7" t="s">
        <v>154</v>
      </c>
      <c r="H63" s="10"/>
      <c r="I63" s="7" t="s">
        <v>155</v>
      </c>
      <c r="J63" s="8">
        <v>0</v>
      </c>
    </row>
    <row r="64" spans="2:10">
      <c r="B64" s="7" t="s">
        <v>197</v>
      </c>
      <c r="C64" s="7" t="s">
        <v>168</v>
      </c>
      <c r="D64" s="7" t="s">
        <v>55</v>
      </c>
      <c r="E64" s="7" t="s">
        <v>196</v>
      </c>
      <c r="F64" s="8">
        <v>2</v>
      </c>
      <c r="G64" s="7" t="s">
        <v>154</v>
      </c>
      <c r="H64" s="10"/>
      <c r="I64" s="7" t="s">
        <v>155</v>
      </c>
      <c r="J64" s="8">
        <v>0</v>
      </c>
    </row>
    <row r="65" spans="2:10">
      <c r="B65" s="7" t="s">
        <v>198</v>
      </c>
      <c r="C65" s="7" t="s">
        <v>168</v>
      </c>
      <c r="D65" s="7" t="s">
        <v>55</v>
      </c>
      <c r="E65" s="7" t="s">
        <v>196</v>
      </c>
      <c r="F65" s="8">
        <v>2</v>
      </c>
      <c r="G65" s="7" t="s">
        <v>154</v>
      </c>
      <c r="H65" s="10"/>
      <c r="I65" s="7" t="s">
        <v>155</v>
      </c>
      <c r="J65" s="8">
        <v>0</v>
      </c>
    </row>
    <row r="66" spans="2:10">
      <c r="B66" s="7" t="s">
        <v>199</v>
      </c>
      <c r="C66" s="7" t="s">
        <v>168</v>
      </c>
      <c r="D66" s="7" t="s">
        <v>55</v>
      </c>
      <c r="E66" s="7" t="s">
        <v>196</v>
      </c>
      <c r="F66" s="8">
        <v>2</v>
      </c>
      <c r="G66" s="7" t="s">
        <v>154</v>
      </c>
      <c r="H66" s="10"/>
      <c r="I66" s="7" t="s">
        <v>173</v>
      </c>
      <c r="J66" s="8">
        <v>0</v>
      </c>
    </row>
    <row r="67" spans="2:10">
      <c r="B67" s="7" t="s">
        <v>200</v>
      </c>
      <c r="C67" s="7" t="s">
        <v>62</v>
      </c>
      <c r="D67" s="7" t="s">
        <v>55</v>
      </c>
      <c r="E67" s="7" t="s">
        <v>196</v>
      </c>
      <c r="F67" s="8">
        <v>2</v>
      </c>
      <c r="G67" s="7" t="s">
        <v>154</v>
      </c>
      <c r="H67" s="10"/>
      <c r="I67" s="7" t="s">
        <v>155</v>
      </c>
      <c r="J67" s="8">
        <v>1</v>
      </c>
    </row>
    <row r="68" spans="2:10">
      <c r="B68" s="7" t="s">
        <v>85</v>
      </c>
      <c r="C68" s="7" t="s">
        <v>62</v>
      </c>
      <c r="D68" s="7" t="s">
        <v>55</v>
      </c>
      <c r="E68" s="7" t="s">
        <v>196</v>
      </c>
      <c r="F68" s="8">
        <v>1</v>
      </c>
      <c r="G68" s="7" t="s">
        <v>154</v>
      </c>
      <c r="H68" s="10"/>
      <c r="I68" s="7" t="s">
        <v>155</v>
      </c>
      <c r="J68" s="8">
        <v>1</v>
      </c>
    </row>
    <row r="69" spans="2:10">
      <c r="B69" s="7" t="s">
        <v>78</v>
      </c>
      <c r="C69" s="7" t="s">
        <v>62</v>
      </c>
      <c r="D69" s="7" t="s">
        <v>55</v>
      </c>
      <c r="E69" s="7" t="s">
        <v>196</v>
      </c>
      <c r="F69" s="8">
        <v>2</v>
      </c>
      <c r="G69" s="7" t="s">
        <v>154</v>
      </c>
      <c r="H69" s="10"/>
      <c r="I69" s="7" t="s">
        <v>155</v>
      </c>
      <c r="J69" s="8">
        <v>1</v>
      </c>
    </row>
    <row r="70" spans="2:10">
      <c r="B70" s="7" t="s">
        <v>79</v>
      </c>
      <c r="C70" s="7" t="s">
        <v>65</v>
      </c>
      <c r="D70" s="7" t="s">
        <v>55</v>
      </c>
      <c r="E70" s="7" t="s">
        <v>196</v>
      </c>
      <c r="F70" s="8">
        <v>2</v>
      </c>
      <c r="G70" s="7" t="s">
        <v>154</v>
      </c>
      <c r="H70" s="10"/>
      <c r="I70" s="7" t="s">
        <v>155</v>
      </c>
      <c r="J70" s="8">
        <v>1</v>
      </c>
    </row>
    <row r="71" spans="2:10">
      <c r="B71" s="7" t="s">
        <v>64</v>
      </c>
      <c r="C71" s="7" t="s">
        <v>65</v>
      </c>
      <c r="D71" s="7" t="s">
        <v>55</v>
      </c>
      <c r="E71" s="7" t="s">
        <v>196</v>
      </c>
      <c r="F71" s="8">
        <v>2</v>
      </c>
      <c r="G71" s="7" t="s">
        <v>154</v>
      </c>
      <c r="H71" s="10"/>
      <c r="I71" s="7" t="s">
        <v>155</v>
      </c>
      <c r="J71" s="8">
        <v>1</v>
      </c>
    </row>
    <row r="72" spans="2:10">
      <c r="B72" s="7" t="s">
        <v>66</v>
      </c>
      <c r="C72" s="7" t="s">
        <v>54</v>
      </c>
      <c r="D72" s="7" t="s">
        <v>55</v>
      </c>
      <c r="E72" s="7" t="s">
        <v>153</v>
      </c>
      <c r="F72" s="8">
        <v>11</v>
      </c>
      <c r="G72" s="7" t="s">
        <v>156</v>
      </c>
      <c r="H72" s="10">
        <v>13500</v>
      </c>
      <c r="I72" s="7" t="s">
        <v>157</v>
      </c>
      <c r="J72" s="8">
        <v>1</v>
      </c>
    </row>
    <row r="73" spans="2:10">
      <c r="B73" s="7" t="s">
        <v>201</v>
      </c>
      <c r="C73" s="7" t="s">
        <v>54</v>
      </c>
      <c r="D73" s="7" t="s">
        <v>55</v>
      </c>
      <c r="E73" s="7" t="s">
        <v>153</v>
      </c>
      <c r="F73" s="8">
        <v>11</v>
      </c>
      <c r="G73" s="7" t="s">
        <v>156</v>
      </c>
      <c r="H73" s="10">
        <v>13500</v>
      </c>
      <c r="I73" s="7" t="s">
        <v>157</v>
      </c>
      <c r="J73" s="8">
        <v>1</v>
      </c>
    </row>
    <row r="74" spans="2:10">
      <c r="B74" s="7" t="s">
        <v>74</v>
      </c>
      <c r="C74" s="7" t="s">
        <v>65</v>
      </c>
      <c r="D74" s="7" t="s">
        <v>63</v>
      </c>
      <c r="E74" s="7" t="s">
        <v>153</v>
      </c>
      <c r="F74" s="8">
        <v>1</v>
      </c>
      <c r="G74" s="7" t="s">
        <v>154</v>
      </c>
      <c r="H74" s="10"/>
      <c r="I74" s="7" t="s">
        <v>155</v>
      </c>
      <c r="J74" s="8">
        <v>1</v>
      </c>
    </row>
    <row r="75" spans="2:10">
      <c r="B75" s="7" t="s">
        <v>202</v>
      </c>
      <c r="C75" s="7" t="s">
        <v>65</v>
      </c>
      <c r="D75" s="7" t="s">
        <v>63</v>
      </c>
      <c r="E75" s="7" t="s">
        <v>153</v>
      </c>
      <c r="F75" s="8">
        <v>1</v>
      </c>
      <c r="G75" s="7" t="s">
        <v>154</v>
      </c>
      <c r="H75" s="10"/>
      <c r="I75" s="7" t="s">
        <v>155</v>
      </c>
      <c r="J75" s="8">
        <v>1</v>
      </c>
    </row>
    <row r="76" spans="2:10">
      <c r="B76" s="7" t="s">
        <v>203</v>
      </c>
      <c r="C76" s="7" t="s">
        <v>65</v>
      </c>
      <c r="D76" s="7" t="s">
        <v>63</v>
      </c>
      <c r="E76" s="7" t="s">
        <v>153</v>
      </c>
      <c r="F76" s="8">
        <v>1</v>
      </c>
      <c r="G76" s="7" t="s">
        <v>154</v>
      </c>
      <c r="H76" s="10"/>
      <c r="I76" s="7" t="s">
        <v>155</v>
      </c>
      <c r="J76" s="8">
        <v>0</v>
      </c>
    </row>
    <row r="77" spans="2:10">
      <c r="B77" s="7" t="s">
        <v>203</v>
      </c>
      <c r="C77" s="7" t="s">
        <v>65</v>
      </c>
      <c r="D77" s="7" t="s">
        <v>55</v>
      </c>
      <c r="E77" s="7" t="s">
        <v>153</v>
      </c>
      <c r="F77" s="8">
        <v>1</v>
      </c>
      <c r="G77" s="7" t="s">
        <v>154</v>
      </c>
      <c r="H77" s="10"/>
      <c r="I77" s="7" t="s">
        <v>155</v>
      </c>
      <c r="J77" s="8">
        <v>0</v>
      </c>
    </row>
    <row r="78" spans="2:10">
      <c r="B78" s="7" t="s">
        <v>58</v>
      </c>
      <c r="C78" s="7" t="s">
        <v>54</v>
      </c>
      <c r="D78" s="7" t="s">
        <v>55</v>
      </c>
      <c r="E78" s="7" t="s">
        <v>153</v>
      </c>
      <c r="F78" s="8">
        <v>11</v>
      </c>
      <c r="G78" s="7" t="s">
        <v>156</v>
      </c>
      <c r="H78" s="10">
        <v>13500</v>
      </c>
      <c r="I78" s="7" t="s">
        <v>157</v>
      </c>
      <c r="J78" s="8">
        <v>1</v>
      </c>
    </row>
    <row r="79" spans="2:10">
      <c r="B79" s="7" t="s">
        <v>204</v>
      </c>
      <c r="C79" s="7" t="s">
        <v>152</v>
      </c>
      <c r="D79" s="7" t="s">
        <v>55</v>
      </c>
      <c r="E79" s="7" t="s">
        <v>153</v>
      </c>
      <c r="F79" s="8">
        <v>2</v>
      </c>
      <c r="G79" s="7" t="s">
        <v>154</v>
      </c>
      <c r="H79" s="10"/>
      <c r="I79" s="7" t="s">
        <v>173</v>
      </c>
      <c r="J79" s="8">
        <v>0</v>
      </c>
    </row>
    <row r="80" spans="2:10">
      <c r="B80" s="7" t="s">
        <v>205</v>
      </c>
      <c r="C80" s="7" t="s">
        <v>159</v>
      </c>
      <c r="D80" s="7" t="s">
        <v>55</v>
      </c>
      <c r="E80" s="7" t="s">
        <v>153</v>
      </c>
      <c r="F80" s="8">
        <v>2</v>
      </c>
      <c r="G80" s="7" t="s">
        <v>156</v>
      </c>
      <c r="H80" s="10">
        <v>1900</v>
      </c>
      <c r="I80" s="7" t="s">
        <v>157</v>
      </c>
      <c r="J80" s="8">
        <v>0</v>
      </c>
    </row>
    <row r="81" spans="2:10">
      <c r="B81" s="7" t="s">
        <v>206</v>
      </c>
      <c r="C81" s="7" t="s">
        <v>54</v>
      </c>
      <c r="D81" s="7" t="s">
        <v>55</v>
      </c>
      <c r="E81" s="7" t="s">
        <v>153</v>
      </c>
      <c r="F81" s="8">
        <v>11</v>
      </c>
      <c r="G81" s="7" t="s">
        <v>156</v>
      </c>
      <c r="H81" s="10">
        <v>16500</v>
      </c>
      <c r="I81" s="7" t="s">
        <v>157</v>
      </c>
      <c r="J81" s="8">
        <v>1</v>
      </c>
    </row>
    <row r="82" spans="2:10">
      <c r="B82" s="7" t="s">
        <v>77</v>
      </c>
      <c r="C82" s="7" t="s">
        <v>60</v>
      </c>
      <c r="D82" s="7" t="s">
        <v>55</v>
      </c>
      <c r="E82" s="7" t="s">
        <v>153</v>
      </c>
      <c r="F82" s="8">
        <v>7</v>
      </c>
      <c r="G82" s="7" t="s">
        <v>156</v>
      </c>
      <c r="H82" s="10">
        <v>27000</v>
      </c>
      <c r="I82" s="7" t="s">
        <v>157</v>
      </c>
      <c r="J82" s="8">
        <v>1</v>
      </c>
    </row>
    <row r="83" spans="2:10">
      <c r="B83" s="7" t="s">
        <v>207</v>
      </c>
      <c r="C83" s="7" t="s">
        <v>159</v>
      </c>
      <c r="D83" s="7" t="s">
        <v>55</v>
      </c>
      <c r="E83" s="7" t="s">
        <v>153</v>
      </c>
      <c r="F83" s="8">
        <v>3</v>
      </c>
      <c r="G83" s="7" t="s">
        <v>156</v>
      </c>
      <c r="H83" s="10">
        <v>1900</v>
      </c>
      <c r="I83" s="7" t="s">
        <v>157</v>
      </c>
      <c r="J83" s="8">
        <v>0</v>
      </c>
    </row>
    <row r="84" spans="2:10">
      <c r="B84" s="7" t="s">
        <v>208</v>
      </c>
      <c r="C84" s="7" t="s">
        <v>159</v>
      </c>
      <c r="D84" s="7" t="s">
        <v>55</v>
      </c>
      <c r="E84" s="7" t="s">
        <v>153</v>
      </c>
      <c r="F84" s="8">
        <v>1</v>
      </c>
      <c r="G84" s="7" t="s">
        <v>209</v>
      </c>
      <c r="H84" s="10">
        <v>250</v>
      </c>
      <c r="I84" s="7" t="s">
        <v>157</v>
      </c>
      <c r="J84" s="8">
        <v>0</v>
      </c>
    </row>
    <row r="85" spans="2:10">
      <c r="B85" s="7" t="s">
        <v>71</v>
      </c>
      <c r="C85" s="7" t="s">
        <v>54</v>
      </c>
      <c r="D85" s="7" t="s">
        <v>55</v>
      </c>
      <c r="E85" s="7" t="s">
        <v>153</v>
      </c>
      <c r="F85" s="8">
        <v>7</v>
      </c>
      <c r="G85" s="7" t="s">
        <v>156</v>
      </c>
      <c r="H85" s="10">
        <v>4900</v>
      </c>
      <c r="I85" s="7" t="s">
        <v>157</v>
      </c>
      <c r="J85" s="8">
        <v>1</v>
      </c>
    </row>
    <row r="86" spans="2:10">
      <c r="B86" s="7" t="s">
        <v>210</v>
      </c>
      <c r="C86" s="7" t="s">
        <v>54</v>
      </c>
      <c r="D86" s="7" t="s">
        <v>55</v>
      </c>
      <c r="E86" s="7" t="s">
        <v>153</v>
      </c>
      <c r="F86" s="8">
        <v>10</v>
      </c>
      <c r="G86" s="7" t="s">
        <v>156</v>
      </c>
      <c r="H86" s="10">
        <v>13500</v>
      </c>
      <c r="I86" s="7" t="s">
        <v>157</v>
      </c>
      <c r="J86" s="8">
        <v>0</v>
      </c>
    </row>
    <row r="87" spans="2:10">
      <c r="B87" s="7" t="s">
        <v>211</v>
      </c>
      <c r="C87" s="7" t="s">
        <v>54</v>
      </c>
      <c r="D87" s="7" t="s">
        <v>55</v>
      </c>
      <c r="E87" s="7" t="s">
        <v>153</v>
      </c>
      <c r="F87" s="8">
        <v>11</v>
      </c>
      <c r="G87" s="7" t="s">
        <v>156</v>
      </c>
      <c r="H87" s="10">
        <v>16500</v>
      </c>
      <c r="I87" s="7" t="s">
        <v>157</v>
      </c>
      <c r="J87" s="8">
        <v>1</v>
      </c>
    </row>
    <row r="88" spans="2:10">
      <c r="B88" s="7" t="s">
        <v>212</v>
      </c>
      <c r="C88" s="7" t="s">
        <v>54</v>
      </c>
      <c r="D88" s="7" t="s">
        <v>55</v>
      </c>
      <c r="E88" s="7" t="s">
        <v>153</v>
      </c>
      <c r="F88" s="8">
        <v>10</v>
      </c>
      <c r="G88" s="7" t="s">
        <v>156</v>
      </c>
      <c r="H88" s="10"/>
      <c r="I88" s="7" t="s">
        <v>173</v>
      </c>
      <c r="J88" s="8">
        <v>1</v>
      </c>
    </row>
    <row r="89" spans="2:10">
      <c r="B89" s="7" t="s">
        <v>80</v>
      </c>
      <c r="C89" s="7" t="s">
        <v>54</v>
      </c>
      <c r="D89" s="7" t="s">
        <v>55</v>
      </c>
      <c r="E89" s="7" t="s">
        <v>153</v>
      </c>
      <c r="F89" s="8">
        <v>10</v>
      </c>
      <c r="G89" s="7" t="s">
        <v>156</v>
      </c>
      <c r="H89" s="10"/>
      <c r="I89" s="7" t="s">
        <v>173</v>
      </c>
      <c r="J89" s="8">
        <v>1</v>
      </c>
    </row>
    <row r="90" spans="2:10">
      <c r="B90" s="7" t="s">
        <v>213</v>
      </c>
      <c r="C90" s="7" t="s">
        <v>54</v>
      </c>
      <c r="D90" s="7" t="s">
        <v>55</v>
      </c>
      <c r="E90" s="7" t="s">
        <v>153</v>
      </c>
      <c r="F90" s="8">
        <v>6</v>
      </c>
      <c r="G90" s="7" t="s">
        <v>156</v>
      </c>
      <c r="H90" s="10">
        <v>6500</v>
      </c>
      <c r="I90" s="7" t="s">
        <v>157</v>
      </c>
      <c r="J90" s="8">
        <v>1</v>
      </c>
    </row>
    <row r="91" spans="2:10">
      <c r="B91" s="7" t="s">
        <v>214</v>
      </c>
      <c r="C91" s="7" t="s">
        <v>60</v>
      </c>
      <c r="D91" s="7" t="s">
        <v>55</v>
      </c>
      <c r="E91" s="7" t="s">
        <v>153</v>
      </c>
      <c r="F91" s="8">
        <v>7</v>
      </c>
      <c r="G91" s="7" t="s">
        <v>156</v>
      </c>
      <c r="H91" s="10">
        <v>27000</v>
      </c>
      <c r="I91" s="7" t="s">
        <v>157</v>
      </c>
      <c r="J91" s="8">
        <v>1</v>
      </c>
    </row>
    <row r="92" spans="2:10">
      <c r="B92" s="7" t="s">
        <v>215</v>
      </c>
      <c r="C92" s="7" t="s">
        <v>54</v>
      </c>
      <c r="D92" s="7" t="s">
        <v>55</v>
      </c>
      <c r="E92" s="7" t="s">
        <v>153</v>
      </c>
      <c r="F92" s="8">
        <v>9</v>
      </c>
      <c r="G92" s="7" t="s">
        <v>156</v>
      </c>
      <c r="H92" s="10"/>
      <c r="I92" s="7" t="s">
        <v>173</v>
      </c>
      <c r="J92" s="8">
        <v>1</v>
      </c>
    </row>
    <row r="93" spans="2:10">
      <c r="B93" s="7" t="s">
        <v>216</v>
      </c>
      <c r="C93" s="7" t="s">
        <v>54</v>
      </c>
      <c r="D93" s="7" t="s">
        <v>55</v>
      </c>
      <c r="E93" s="7" t="s">
        <v>153</v>
      </c>
      <c r="F93" s="8">
        <v>10</v>
      </c>
      <c r="G93" s="7" t="s">
        <v>156</v>
      </c>
      <c r="H93" s="10"/>
      <c r="I93" s="7" t="s">
        <v>173</v>
      </c>
      <c r="J93" s="8">
        <v>1</v>
      </c>
    </row>
    <row r="94" spans="2:10">
      <c r="B94" s="7" t="s">
        <v>217</v>
      </c>
      <c r="C94" s="7" t="s">
        <v>54</v>
      </c>
      <c r="D94" s="7" t="s">
        <v>55</v>
      </c>
      <c r="E94" s="7" t="s">
        <v>153</v>
      </c>
      <c r="F94" s="8">
        <v>11</v>
      </c>
      <c r="G94" s="7" t="s">
        <v>156</v>
      </c>
      <c r="H94" s="10">
        <v>16500</v>
      </c>
      <c r="I94" s="7" t="s">
        <v>157</v>
      </c>
      <c r="J94" s="8">
        <v>0</v>
      </c>
    </row>
    <row r="95" spans="2:10">
      <c r="B95" s="7" t="s">
        <v>218</v>
      </c>
      <c r="C95" s="7" t="s">
        <v>54</v>
      </c>
      <c r="D95" s="7" t="s">
        <v>55</v>
      </c>
      <c r="E95" s="7" t="s">
        <v>153</v>
      </c>
      <c r="F95" s="8">
        <v>8</v>
      </c>
      <c r="G95" s="7" t="s">
        <v>156</v>
      </c>
      <c r="H95" s="10">
        <v>9900</v>
      </c>
      <c r="I95" s="7" t="s">
        <v>157</v>
      </c>
      <c r="J95" s="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B38"/>
  <sheetViews>
    <sheetView showGridLines="0" workbookViewId="0"/>
  </sheetViews>
  <sheetFormatPr defaultRowHeight="15"/>
  <cols>
    <col min="1" max="1" width="2.7109375" customWidth="1"/>
    <col min="2" max="2" width="110.7109375" customWidth="1"/>
  </cols>
  <sheetData>
    <row r="2" spans="2:2">
      <c r="B2" s="1" t="s">
        <v>219</v>
      </c>
    </row>
    <row r="5" spans="2:2">
      <c r="B5" s="5" t="s">
        <v>220</v>
      </c>
    </row>
    <row r="6" spans="2:2">
      <c r="B6" s="9" t="s">
        <v>221</v>
      </c>
    </row>
    <row r="7" spans="2:2">
      <c r="B7" s="9"/>
    </row>
    <row r="8" spans="2:2">
      <c r="B8" s="9"/>
    </row>
    <row r="10" spans="2:2">
      <c r="B10" s="5" t="s">
        <v>222</v>
      </c>
    </row>
    <row r="11" spans="2:2">
      <c r="B11" s="9" t="s">
        <v>223</v>
      </c>
    </row>
    <row r="12" spans="2:2">
      <c r="B12" s="9"/>
    </row>
    <row r="13" spans="2:2">
      <c r="B13" s="9"/>
    </row>
    <row r="15" spans="2:2">
      <c r="B15" s="5" t="s">
        <v>224</v>
      </c>
    </row>
    <row r="16" spans="2:2">
      <c r="B16" s="9" t="s">
        <v>225</v>
      </c>
    </row>
    <row r="17" spans="2:2">
      <c r="B17" s="9"/>
    </row>
    <row r="18" spans="2:2">
      <c r="B18" s="9"/>
    </row>
    <row r="20" spans="2:2">
      <c r="B20" s="5" t="s">
        <v>226</v>
      </c>
    </row>
    <row r="21" spans="2:2">
      <c r="B21" s="9" t="s">
        <v>227</v>
      </c>
    </row>
    <row r="22" spans="2:2">
      <c r="B22" s="9"/>
    </row>
    <row r="23" spans="2:2">
      <c r="B23" s="9"/>
    </row>
    <row r="25" spans="2:2">
      <c r="B25" s="5" t="s">
        <v>228</v>
      </c>
    </row>
    <row r="26" spans="2:2">
      <c r="B26" s="9" t="s">
        <v>229</v>
      </c>
    </row>
    <row r="27" spans="2:2">
      <c r="B27" s="9"/>
    </row>
    <row r="28" spans="2:2">
      <c r="B28" s="9"/>
    </row>
    <row r="30" spans="2:2">
      <c r="B30" s="5" t="s">
        <v>230</v>
      </c>
    </row>
    <row r="31" spans="2:2">
      <c r="B31" s="9" t="s">
        <v>231</v>
      </c>
    </row>
    <row r="32" spans="2:2">
      <c r="B32" s="9"/>
    </row>
    <row r="33" spans="2:2">
      <c r="B33" s="9"/>
    </row>
    <row r="35" spans="2:2">
      <c r="B35" s="5" t="s">
        <v>232</v>
      </c>
    </row>
    <row r="36" spans="2:2">
      <c r="B36" s="9" t="s">
        <v>233</v>
      </c>
    </row>
    <row r="37" spans="2:2">
      <c r="B37" s="9"/>
    </row>
    <row r="38" spans="2:2">
      <c r="B38" s="9"/>
    </row>
  </sheetData>
  <mergeCells count="7">
    <mergeCell ref="B6:B8"/>
    <mergeCell ref="B11:B13"/>
    <mergeCell ref="B16:B18"/>
    <mergeCell ref="B21:B23"/>
    <mergeCell ref="B26:B28"/>
    <mergeCell ref="B31:B33"/>
    <mergeCell ref="B36:B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Summary</vt:lpstr>
      <vt:lpstr>Campaign Performance</vt:lpstr>
      <vt:lpstr>Programme Demand</vt:lpstr>
      <vt:lpstr>Student Risk</vt:lpstr>
      <vt:lpstr>Data Quality</vt:lpstr>
      <vt:lpstr>Catalogue</vt:lpstr>
      <vt:lpstr>Method &amp; Caveats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2026-09-09T07:54:42Z</dcterms:created>
  <dcterms:modified xsi:type="dcterms:W3CDTF">2026-09-09T07:54:42Z</dcterms:modified>
</cp:coreProperties>
</file>